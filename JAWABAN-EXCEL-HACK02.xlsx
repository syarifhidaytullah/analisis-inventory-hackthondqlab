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and Projection" sheetId="1" state="visible" r:id="rId3"/>
    <sheet name="Warehouse" sheetId="2" state="visible" r:id="rId4"/>
    <sheet name="Capacity" sheetId="3" state="visible" r:id="rId5"/>
    <sheet name="Help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<sst xmlns="http://schemas.openxmlformats.org/spreadsheetml/2006/main" count="127" uniqueCount="30">
  <si>
    <t xml:space="preserve">No</t>
  </si>
  <si>
    <t xml:space="preserve">Produk</t>
  </si>
  <si>
    <t xml:space="preserve">Tanggal Order</t>
  </si>
  <si>
    <t xml:space="preserve">Jumlah</t>
  </si>
  <si>
    <t xml:space="preserve">SKU PROD A</t>
  </si>
  <si>
    <t xml:space="preserve">SKU PROD B</t>
  </si>
  <si>
    <t xml:space="preserve">SKU PROD C</t>
  </si>
  <si>
    <t xml:space="preserve">SKU PROD D</t>
  </si>
  <si>
    <t xml:space="preserve">SKU PROD E</t>
  </si>
  <si>
    <t xml:space="preserve">#</t>
  </si>
  <si>
    <t xml:space="preserve">Item / SKU</t>
  </si>
  <si>
    <t xml:space="preserve">Date</t>
  </si>
  <si>
    <t xml:space="preserve">Stock Qty</t>
  </si>
  <si>
    <t xml:space="preserve">Status</t>
  </si>
  <si>
    <t xml:space="preserve">Arrival Date</t>
  </si>
  <si>
    <t xml:space="preserve">Kapasitas Gudang</t>
  </si>
  <si>
    <t xml:space="preserve">Initial Stock</t>
  </si>
  <si>
    <t xml:space="preserve">Reorder</t>
  </si>
  <si>
    <t xml:space="preserve">Warehouse Capacity</t>
  </si>
  <si>
    <t xml:space="preserve">Min/Max Stock Level</t>
  </si>
  <si>
    <t xml:space="preserve">Product</t>
  </si>
  <si>
    <t xml:space="preserve">Full Unit Capacity</t>
  </si>
  <si>
    <t xml:space="preserve">Min</t>
  </si>
  <si>
    <t xml:space="preserve">Max</t>
  </si>
  <si>
    <t xml:space="preserve">Demand 6 Hari</t>
  </si>
  <si>
    <t xml:space="preserve">Total Inbound</t>
  </si>
  <si>
    <t xml:space="preserve">Total Outbound</t>
  </si>
  <si>
    <t xml:space="preserve">Current Stock</t>
  </si>
  <si>
    <t xml:space="preserve">Reorder Qty</t>
  </si>
  <si>
    <t xml:space="preserve">Reorder Index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</si>
</sst>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2:B7" headerRowCount="1" totalsRowCount="0" totalsRowShown="0">
  <autoFilter ref="A2:B7"/>
  <tableColumns count="2">
    <tableColumn id="1" name="Product"/>
    <tableColumn id="2" name="Full Unit Capacity"/>
  </tableColumns>
</table>
</file>

<file path=xl/tables/table2.xml><?xml version="1.0" encoding="utf-8"?>
<table xmlns="http://schemas.openxmlformats.org/spreadsheetml/2006/main" id="2" name="Table14" displayName="Table14" ref="D2:F7" headerRowCount="1" totalsRowCount="0" totalsRowShown="0">
  <autoFilter ref="D2:F7"/>
  <tableColumns count="3">
    <tableColumn id="1" name="Product"/>
    <tableColumn id="2" name="Min"/>
    <tableColumn id="3" name="Ma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2" t="n">
        <v>46025</v>
      </c>
      <c r="D2" s="0" t="n">
        <v>1000</v>
      </c>
    </row>
    <row r="3" customFormat="false" ht="15" hidden="false" customHeight="false" outlineLevel="0" collapsed="false">
      <c r="A3" s="0" t="n">
        <v>2</v>
      </c>
      <c r="B3" s="0" t="s">
        <v>5</v>
      </c>
      <c r="C3" s="2" t="n">
        <v>46025</v>
      </c>
      <c r="D3" s="0" t="n">
        <v>6000</v>
      </c>
    </row>
    <row r="4" customFormat="false" ht="15" hidden="false" customHeight="false" outlineLevel="0" collapsed="false">
      <c r="A4" s="0" t="n">
        <v>3</v>
      </c>
      <c r="B4" s="0" t="s">
        <v>4</v>
      </c>
      <c r="C4" s="2" t="n">
        <v>46026</v>
      </c>
      <c r="D4" s="0" t="n">
        <v>400</v>
      </c>
    </row>
    <row r="5" customFormat="false" ht="15" hidden="false" customHeight="false" outlineLevel="0" collapsed="false">
      <c r="A5" s="0" t="n">
        <v>4</v>
      </c>
      <c r="B5" s="0" t="s">
        <v>6</v>
      </c>
      <c r="C5" s="2" t="n">
        <v>46027</v>
      </c>
      <c r="D5" s="0" t="n">
        <v>900</v>
      </c>
    </row>
    <row r="6" customFormat="false" ht="15" hidden="false" customHeight="false" outlineLevel="0" collapsed="false">
      <c r="A6" s="0" t="n">
        <v>5</v>
      </c>
      <c r="B6" s="0" t="s">
        <v>7</v>
      </c>
      <c r="C6" s="2" t="n">
        <v>46028</v>
      </c>
      <c r="D6" s="0" t="n">
        <v>600</v>
      </c>
    </row>
    <row r="7" customFormat="false" ht="15" hidden="false" customHeight="false" outlineLevel="0" collapsed="false">
      <c r="A7" s="0" t="n">
        <v>6</v>
      </c>
      <c r="B7" s="0" t="s">
        <v>4</v>
      </c>
      <c r="C7" s="2" t="n">
        <v>46029</v>
      </c>
      <c r="D7" s="0" t="n">
        <v>1000</v>
      </c>
    </row>
    <row r="8" customFormat="false" ht="15" hidden="false" customHeight="false" outlineLevel="0" collapsed="false">
      <c r="A8" s="0" t="n">
        <v>7</v>
      </c>
      <c r="B8" s="0" t="s">
        <v>6</v>
      </c>
      <c r="C8" s="2" t="n">
        <v>46031</v>
      </c>
      <c r="D8" s="0" t="n">
        <v>500</v>
      </c>
    </row>
    <row r="9" customFormat="false" ht="15" hidden="false" customHeight="false" outlineLevel="0" collapsed="false">
      <c r="A9" s="0" t="n">
        <v>8</v>
      </c>
      <c r="B9" s="0" t="s">
        <v>8</v>
      </c>
      <c r="C9" s="2" t="n">
        <v>46034</v>
      </c>
      <c r="D9" s="0" t="n">
        <v>400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2" t="n">
        <v>46035</v>
      </c>
      <c r="D10" s="0" t="n">
        <v>600</v>
      </c>
    </row>
    <row r="11" customFormat="false" ht="15" hidden="false" customHeight="false" outlineLevel="0" collapsed="false">
      <c r="A11" s="0" t="n">
        <v>10</v>
      </c>
      <c r="B11" s="0" t="s">
        <v>7</v>
      </c>
      <c r="C11" s="2" t="n">
        <v>46039</v>
      </c>
      <c r="D11" s="0" t="n">
        <v>900</v>
      </c>
    </row>
    <row r="12" customFormat="false" ht="15" hidden="false" customHeight="false" outlineLevel="0" collapsed="false">
      <c r="A12" s="0" t="n">
        <v>11</v>
      </c>
      <c r="B12" s="0" t="s">
        <v>6</v>
      </c>
      <c r="C12" s="2" t="n">
        <v>46042</v>
      </c>
      <c r="D12" s="0" t="n">
        <v>800</v>
      </c>
    </row>
    <row r="13" customFormat="false" ht="15" hidden="false" customHeight="false" outlineLevel="0" collapsed="false">
      <c r="A13" s="0" t="n">
        <v>12</v>
      </c>
      <c r="B13" s="0" t="s">
        <v>4</v>
      </c>
      <c r="C13" s="2" t="n">
        <v>46046</v>
      </c>
      <c r="D13" s="0" t="n">
        <v>1000</v>
      </c>
    </row>
    <row r="14" customFormat="false" ht="15" hidden="false" customHeight="false" outlineLevel="0" collapsed="false">
      <c r="A14" s="0" t="n">
        <v>13</v>
      </c>
      <c r="B14" s="0" t="s">
        <v>7</v>
      </c>
      <c r="C14" s="2" t="n">
        <v>46050</v>
      </c>
      <c r="D14" s="0" t="n">
        <v>3000</v>
      </c>
    </row>
    <row r="15" customFormat="false" ht="15" hidden="false" customHeight="false" outlineLevel="0" collapsed="false">
      <c r="A15" s="0" t="n">
        <v>14</v>
      </c>
      <c r="B15" s="0" t="s">
        <v>8</v>
      </c>
      <c r="C15" s="2" t="n">
        <v>46050</v>
      </c>
      <c r="D15" s="0" t="n">
        <v>2000</v>
      </c>
    </row>
    <row r="16" customFormat="false" ht="15" hidden="false" customHeight="false" outlineLevel="0" collapsed="false">
      <c r="A16" s="0" t="n">
        <v>15</v>
      </c>
      <c r="B16" s="0" t="str">
        <f aca="false">B2</f>
        <v>SKU PROD A</v>
      </c>
      <c r="C16" s="2" t="n">
        <f aca="false">DATE(YEAR(C2),MONTH(C2)+1,DAY(C2))</f>
        <v>46056</v>
      </c>
      <c r="D16" s="0" t="n">
        <f aca="false">ROUNDUP(D2*IF(MONTH(C16)=2,IF(DAY(C16)&lt;15,1.05,1.075),IF(MONTH(C16)=3,IF(DAY(C16)&lt;20,0.98,1.015),IF(MONTH(C16)=4,IF(DAY(C16)&lt;17,1.025,0.95),IF(MONTH(C16)=5,IF(DAY(C16)&lt;22,0.95,1.05),IF(MONTH(C16)=6,0.95,IF(MONTH(C16)=7,IF(DAY(C16)&lt;10,1.15,0.95),IF(MONTH(C16)=8,IF(DAY(C16)&lt;25,0.85,1.03),IF(MONTH(C16)=9,IF(DAY(C16)&lt;25,0.85,1.03),IF(MONTH(C16)=10,IF(DAY(C16)&lt;11,0.9,0.95),IF(MONTH(C16)=11,IF(DAY(C16)&lt;13,1.12,1.06),IF(MONTH(C16)=12,IF(DAY(C16)&lt;10,1.06,1.12),1))))))))))),0)</f>
        <v>1050</v>
      </c>
    </row>
    <row r="17" customFormat="false" ht="15" hidden="false" customHeight="false" outlineLevel="0" collapsed="false">
      <c r="A17" s="0" t="n">
        <v>16</v>
      </c>
      <c r="B17" s="0" t="str">
        <f aca="false">B3</f>
        <v>SKU PROD B</v>
      </c>
      <c r="C17" s="2" t="n">
        <f aca="false">DATE(YEAR(C3),MONTH(C3)+1,DAY(C3))</f>
        <v>46056</v>
      </c>
      <c r="D17" s="0" t="n">
        <f aca="false">ROUNDUP(D3*IF(MONTH(C17)=2,IF(DAY(C17)&lt;15,1.05,1.075),IF(MONTH(C17)=3,IF(DAY(C17)&lt;20,0.98,1.015),IF(MONTH(C17)=4,IF(DAY(C17)&lt;17,1.025,0.95),IF(MONTH(C17)=5,IF(DAY(C17)&lt;22,0.95,1.05),IF(MONTH(C17)=6,0.95,IF(MONTH(C17)=7,IF(DAY(C17)&lt;10,1.15,0.95),IF(MONTH(C17)=8,IF(DAY(C17)&lt;25,0.85,1.03),IF(MONTH(C17)=9,IF(DAY(C17)&lt;25,0.85,1.03),IF(MONTH(C17)=10,IF(DAY(C17)&lt;11,0.9,0.95),IF(MONTH(C17)=11,IF(DAY(C17)&lt;13,1.12,1.06),IF(MONTH(C17)=12,IF(DAY(C17)&lt;10,1.06,1.12),1))))))))))),0)</f>
        <v>6300</v>
      </c>
    </row>
    <row r="18" customFormat="false" ht="15" hidden="false" customHeight="false" outlineLevel="0" collapsed="false">
      <c r="A18" s="0" t="n">
        <v>17</v>
      </c>
      <c r="B18" s="0" t="str">
        <f aca="false">B4</f>
        <v>SKU PROD A</v>
      </c>
      <c r="C18" s="2" t="n">
        <f aca="false">DATE(YEAR(C4),MONTH(C4)+1,DAY(C4))</f>
        <v>46057</v>
      </c>
      <c r="D18" s="0" t="n">
        <f aca="false">ROUNDUP(D4*IF(MONTH(C18)=2,IF(DAY(C18)&lt;15,1.05,1.075),IF(MONTH(C18)=3,IF(DAY(C18)&lt;20,0.98,1.015),IF(MONTH(C18)=4,IF(DAY(C18)&lt;17,1.025,0.95),IF(MONTH(C18)=5,IF(DAY(C18)&lt;22,0.95,1.05),IF(MONTH(C18)=6,0.95,IF(MONTH(C18)=7,IF(DAY(C18)&lt;10,1.15,0.95),IF(MONTH(C18)=8,IF(DAY(C18)&lt;25,0.85,1.03),IF(MONTH(C18)=9,IF(DAY(C18)&lt;25,0.85,1.03),IF(MONTH(C18)=10,IF(DAY(C18)&lt;11,0.9,0.95),IF(MONTH(C18)=11,IF(DAY(C18)&lt;13,1.12,1.06),IF(MONTH(C18)=12,IF(DAY(C18)&lt;10,1.06,1.12),1))))))))))),0)</f>
        <v>420</v>
      </c>
    </row>
    <row r="19" customFormat="false" ht="15" hidden="false" customHeight="false" outlineLevel="0" collapsed="false">
      <c r="A19" s="0" t="n">
        <v>18</v>
      </c>
      <c r="B19" s="0" t="str">
        <f aca="false">B5</f>
        <v>SKU PROD C</v>
      </c>
      <c r="C19" s="2" t="n">
        <f aca="false">DATE(YEAR(C5),MONTH(C5)+1,DAY(C5))</f>
        <v>46058</v>
      </c>
      <c r="D19" s="0" t="n">
        <f aca="false">ROUNDUP(D5*IF(MONTH(C19)=2,IF(DAY(C19)&lt;15,1.05,1.075),IF(MONTH(C19)=3,IF(DAY(C19)&lt;20,0.98,1.015),IF(MONTH(C19)=4,IF(DAY(C19)&lt;17,1.025,0.95),IF(MONTH(C19)=5,IF(DAY(C19)&lt;22,0.95,1.05),IF(MONTH(C19)=6,0.95,IF(MONTH(C19)=7,IF(DAY(C19)&lt;10,1.15,0.95),IF(MONTH(C19)=8,IF(DAY(C19)&lt;25,0.85,1.03),IF(MONTH(C19)=9,IF(DAY(C19)&lt;25,0.85,1.03),IF(MONTH(C19)=10,IF(DAY(C19)&lt;11,0.9,0.95),IF(MONTH(C19)=11,IF(DAY(C19)&lt;13,1.12,1.06),IF(MONTH(C19)=12,IF(DAY(C19)&lt;10,1.06,1.12),1))))))))))),0)</f>
        <v>945</v>
      </c>
    </row>
    <row r="20" customFormat="false" ht="15" hidden="false" customHeight="false" outlineLevel="0" collapsed="false">
      <c r="A20" s="0" t="n">
        <v>19</v>
      </c>
      <c r="B20" s="0" t="str">
        <f aca="false">B6</f>
        <v>SKU PROD D</v>
      </c>
      <c r="C20" s="2" t="n">
        <f aca="false">DATE(YEAR(C6),MONTH(C6)+1,DAY(C6))</f>
        <v>46059</v>
      </c>
      <c r="D20" s="0" t="n">
        <f aca="false">ROUNDUP(D6*IF(MONTH(C20)=2,IF(DAY(C20)&lt;15,1.05,1.075),IF(MONTH(C20)=3,IF(DAY(C20)&lt;20,0.98,1.015),IF(MONTH(C20)=4,IF(DAY(C20)&lt;17,1.025,0.95),IF(MONTH(C20)=5,IF(DAY(C20)&lt;22,0.95,1.05),IF(MONTH(C20)=6,0.95,IF(MONTH(C20)=7,IF(DAY(C20)&lt;10,1.15,0.95),IF(MONTH(C20)=8,IF(DAY(C20)&lt;25,0.85,1.03),IF(MONTH(C20)=9,IF(DAY(C20)&lt;25,0.85,1.03),IF(MONTH(C20)=10,IF(DAY(C20)&lt;11,0.9,0.95),IF(MONTH(C20)=11,IF(DAY(C20)&lt;13,1.12,1.06),IF(MONTH(C20)=12,IF(DAY(C20)&lt;10,1.06,1.12),1))))))))))),0)</f>
        <v>630</v>
      </c>
    </row>
    <row r="21" customFormat="false" ht="15" hidden="false" customHeight="false" outlineLevel="0" collapsed="false">
      <c r="A21" s="0" t="n">
        <v>20</v>
      </c>
      <c r="B21" s="0" t="str">
        <f aca="false">B7</f>
        <v>SKU PROD A</v>
      </c>
      <c r="C21" s="2" t="n">
        <f aca="false">DATE(YEAR(C7),MONTH(C7)+1,DAY(C7))</f>
        <v>46060</v>
      </c>
      <c r="D21" s="0" t="n">
        <f aca="false">ROUNDUP(D7*IF(MONTH(C21)=2,IF(DAY(C21)&lt;15,1.05,1.075),IF(MONTH(C21)=3,IF(DAY(C21)&lt;20,0.98,1.015),IF(MONTH(C21)=4,IF(DAY(C21)&lt;17,1.025,0.95),IF(MONTH(C21)=5,IF(DAY(C21)&lt;22,0.95,1.05),IF(MONTH(C21)=6,0.95,IF(MONTH(C21)=7,IF(DAY(C21)&lt;10,1.15,0.95),IF(MONTH(C21)=8,IF(DAY(C21)&lt;25,0.85,1.03),IF(MONTH(C21)=9,IF(DAY(C21)&lt;25,0.85,1.03),IF(MONTH(C21)=10,IF(DAY(C21)&lt;11,0.9,0.95),IF(MONTH(C21)=11,IF(DAY(C21)&lt;13,1.12,1.06),IF(MONTH(C21)=12,IF(DAY(C21)&lt;10,1.06,1.12),1))))))))))),0)</f>
        <v>1050</v>
      </c>
    </row>
    <row r="22" customFormat="false" ht="15" hidden="false" customHeight="false" outlineLevel="0" collapsed="false">
      <c r="A22" s="0" t="n">
        <v>21</v>
      </c>
      <c r="B22" s="0" t="str">
        <f aca="false">B8</f>
        <v>SKU PROD C</v>
      </c>
      <c r="C22" s="2" t="n">
        <f aca="false">DATE(YEAR(C8),MONTH(C8)+1,DAY(C8))</f>
        <v>46062</v>
      </c>
      <c r="D22" s="0" t="n">
        <f aca="false">ROUNDUP(D8*IF(MONTH(C22)=2,IF(DAY(C22)&lt;15,1.05,1.075),IF(MONTH(C22)=3,IF(DAY(C22)&lt;20,0.98,1.015),IF(MONTH(C22)=4,IF(DAY(C22)&lt;17,1.025,0.95),IF(MONTH(C22)=5,IF(DAY(C22)&lt;22,0.95,1.05),IF(MONTH(C22)=6,0.95,IF(MONTH(C22)=7,IF(DAY(C22)&lt;10,1.15,0.95),IF(MONTH(C22)=8,IF(DAY(C22)&lt;25,0.85,1.03),IF(MONTH(C22)=9,IF(DAY(C22)&lt;25,0.85,1.03),IF(MONTH(C22)=10,IF(DAY(C22)&lt;11,0.9,0.95),IF(MONTH(C22)=11,IF(DAY(C22)&lt;13,1.12,1.06),IF(MONTH(C22)=12,IF(DAY(C22)&lt;10,1.06,1.12),1))))))))))),0)</f>
        <v>525</v>
      </c>
    </row>
    <row r="23" customFormat="false" ht="15" hidden="false" customHeight="false" outlineLevel="0" collapsed="false">
      <c r="A23" s="0" t="n">
        <v>22</v>
      </c>
      <c r="B23" s="0" t="str">
        <f aca="false">B9</f>
        <v>SKU PROD E</v>
      </c>
      <c r="C23" s="2" t="n">
        <f aca="false">DATE(YEAR(C9),MONTH(C9)+1,DAY(C9))</f>
        <v>46065</v>
      </c>
      <c r="D23" s="0" t="n">
        <f aca="false">ROUNDUP(D9*IF(MONTH(C23)=2,IF(DAY(C23)&lt;15,1.05,1.075),IF(MONTH(C23)=3,IF(DAY(C23)&lt;20,0.98,1.015),IF(MONTH(C23)=4,IF(DAY(C23)&lt;17,1.025,0.95),IF(MONTH(C23)=5,IF(DAY(C23)&lt;22,0.95,1.05),IF(MONTH(C23)=6,0.95,IF(MONTH(C23)=7,IF(DAY(C23)&lt;10,1.15,0.95),IF(MONTH(C23)=8,IF(DAY(C23)&lt;25,0.85,1.03),IF(MONTH(C23)=9,IF(DAY(C23)&lt;25,0.85,1.03),IF(MONTH(C23)=10,IF(DAY(C23)&lt;11,0.9,0.95),IF(MONTH(C23)=11,IF(DAY(C23)&lt;13,1.12,1.06),IF(MONTH(C23)=12,IF(DAY(C23)&lt;10,1.06,1.12),1))))))))))),0)</f>
        <v>420</v>
      </c>
    </row>
    <row r="24" customFormat="false" ht="15" hidden="false" customHeight="false" outlineLevel="0" collapsed="false">
      <c r="A24" s="0" t="n">
        <v>23</v>
      </c>
      <c r="B24" s="0" t="str">
        <f aca="false">B10</f>
        <v>SKU PROD B</v>
      </c>
      <c r="C24" s="2" t="n">
        <f aca="false">DATE(YEAR(C10),MONTH(C10)+1,DAY(C10))</f>
        <v>46066</v>
      </c>
      <c r="D24" s="0" t="n">
        <f aca="false">ROUNDUP(D10*IF(MONTH(C24)=2,IF(DAY(C24)&lt;15,1.05,1.075),IF(MONTH(C24)=3,IF(DAY(C24)&lt;20,0.98,1.015),IF(MONTH(C24)=4,IF(DAY(C24)&lt;17,1.025,0.95),IF(MONTH(C24)=5,IF(DAY(C24)&lt;22,0.95,1.05),IF(MONTH(C24)=6,0.95,IF(MONTH(C24)=7,IF(DAY(C24)&lt;10,1.15,0.95),IF(MONTH(C24)=8,IF(DAY(C24)&lt;25,0.85,1.03),IF(MONTH(C24)=9,IF(DAY(C24)&lt;25,0.85,1.03),IF(MONTH(C24)=10,IF(DAY(C24)&lt;11,0.9,0.95),IF(MONTH(C24)=11,IF(DAY(C24)&lt;13,1.12,1.06),IF(MONTH(C24)=12,IF(DAY(C24)&lt;10,1.06,1.12),1))))))))))),0)</f>
        <v>630</v>
      </c>
    </row>
    <row r="25" customFormat="false" ht="15" hidden="false" customHeight="false" outlineLevel="0" collapsed="false">
      <c r="A25" s="0" t="n">
        <v>24</v>
      </c>
      <c r="B25" s="0" t="str">
        <f aca="false">B11</f>
        <v>SKU PROD D</v>
      </c>
      <c r="C25" s="2" t="n">
        <f aca="false">DATE(YEAR(C11),MONTH(C11)+1,DAY(C11))</f>
        <v>46070</v>
      </c>
      <c r="D25" s="0" t="n">
        <f aca="false">ROUNDUP(D11*IF(MONTH(C25)=2,IF(DAY(C25)&lt;15,1.05,1.075),IF(MONTH(C25)=3,IF(DAY(C25)&lt;20,0.98,1.015),IF(MONTH(C25)=4,IF(DAY(C25)&lt;17,1.025,0.95),IF(MONTH(C25)=5,IF(DAY(C25)&lt;22,0.95,1.05),IF(MONTH(C25)=6,0.95,IF(MONTH(C25)=7,IF(DAY(C25)&lt;10,1.15,0.95),IF(MONTH(C25)=8,IF(DAY(C25)&lt;25,0.85,1.03),IF(MONTH(C25)=9,IF(DAY(C25)&lt;25,0.85,1.03),IF(MONTH(C25)=10,IF(DAY(C25)&lt;11,0.9,0.95),IF(MONTH(C25)=11,IF(DAY(C25)&lt;13,1.12,1.06),IF(MONTH(C25)=12,IF(DAY(C25)&lt;10,1.06,1.12),1))))))))))),0)</f>
        <v>968</v>
      </c>
    </row>
    <row r="26" customFormat="false" ht="15" hidden="false" customHeight="false" outlineLevel="0" collapsed="false">
      <c r="A26" s="0" t="n">
        <v>25</v>
      </c>
      <c r="B26" s="0" t="str">
        <f aca="false">B12</f>
        <v>SKU PROD C</v>
      </c>
      <c r="C26" s="2" t="n">
        <f aca="false">DATE(YEAR(C12),MONTH(C12)+1,DAY(C12))</f>
        <v>46073</v>
      </c>
      <c r="D26" s="0" t="n">
        <f aca="false">ROUNDUP(D12*IF(MONTH(C26)=2,IF(DAY(C26)&lt;15,1.05,1.075),IF(MONTH(C26)=3,IF(DAY(C26)&lt;20,0.98,1.015),IF(MONTH(C26)=4,IF(DAY(C26)&lt;17,1.025,0.95),IF(MONTH(C26)=5,IF(DAY(C26)&lt;22,0.95,1.05),IF(MONTH(C26)=6,0.95,IF(MONTH(C26)=7,IF(DAY(C26)&lt;10,1.15,0.95),IF(MONTH(C26)=8,IF(DAY(C26)&lt;25,0.85,1.03),IF(MONTH(C26)=9,IF(DAY(C26)&lt;25,0.85,1.03),IF(MONTH(C26)=10,IF(DAY(C26)&lt;11,0.9,0.95),IF(MONTH(C26)=11,IF(DAY(C26)&lt;13,1.12,1.06),IF(MONTH(C26)=12,IF(DAY(C26)&lt;10,1.06,1.12),1))))))))))),0)</f>
        <v>860</v>
      </c>
    </row>
    <row r="27" customFormat="false" ht="15" hidden="false" customHeight="false" outlineLevel="0" collapsed="false">
      <c r="A27" s="0" t="n">
        <v>26</v>
      </c>
      <c r="B27" s="0" t="str">
        <f aca="false">B13</f>
        <v>SKU PROD A</v>
      </c>
      <c r="C27" s="2" t="n">
        <f aca="false">DATE(YEAR(C13),MONTH(C13)+1,DAY(C13))</f>
        <v>46077</v>
      </c>
      <c r="D27" s="0" t="n">
        <f aca="false">ROUNDUP(D13*IF(MONTH(C27)=2,IF(DAY(C27)&lt;15,1.05,1.075),IF(MONTH(C27)=3,IF(DAY(C27)&lt;20,0.98,1.015),IF(MONTH(C27)=4,IF(DAY(C27)&lt;17,1.025,0.95),IF(MONTH(C27)=5,IF(DAY(C27)&lt;22,0.95,1.05),IF(MONTH(C27)=6,0.95,IF(MONTH(C27)=7,IF(DAY(C27)&lt;10,1.15,0.95),IF(MONTH(C27)=8,IF(DAY(C27)&lt;25,0.85,1.03),IF(MONTH(C27)=9,IF(DAY(C27)&lt;25,0.85,1.03),IF(MONTH(C27)=10,IF(DAY(C27)&lt;11,0.9,0.95),IF(MONTH(C27)=11,IF(DAY(C27)&lt;13,1.12,1.06),IF(MONTH(C27)=12,IF(DAY(C27)&lt;10,1.06,1.12),1))))))))))),0)</f>
        <v>1075</v>
      </c>
    </row>
    <row r="28" customFormat="false" ht="15" hidden="false" customHeight="false" outlineLevel="0" collapsed="false">
      <c r="A28" s="0" t="n">
        <v>27</v>
      </c>
      <c r="B28" s="0" t="str">
        <f aca="false">B14</f>
        <v>SKU PROD D</v>
      </c>
      <c r="C28" s="2" t="n">
        <f aca="false">DATE(YEAR(C14),MONTH(C14)+1,DAY(C14))</f>
        <v>46081</v>
      </c>
      <c r="D28" s="0" t="n">
        <f aca="false">ROUNDUP(D14*IF(MONTH(C28)=2,IF(DAY(C28)&lt;15,1.05,1.075),IF(MONTH(C28)=3,IF(DAY(C28)&lt;20,0.98,1.015),IF(MONTH(C28)=4,IF(DAY(C28)&lt;17,1.025,0.95),IF(MONTH(C28)=5,IF(DAY(C28)&lt;22,0.95,1.05),IF(MONTH(C28)=6,0.95,IF(MONTH(C28)=7,IF(DAY(C28)&lt;10,1.15,0.95),IF(MONTH(C28)=8,IF(DAY(C28)&lt;25,0.85,1.03),IF(MONTH(C28)=9,IF(DAY(C28)&lt;25,0.85,1.03),IF(MONTH(C28)=10,IF(DAY(C28)&lt;11,0.9,0.95),IF(MONTH(C28)=11,IF(DAY(C28)&lt;13,1.12,1.06),IF(MONTH(C28)=12,IF(DAY(C28)&lt;10,1.06,1.12),1))))))))))),0)</f>
        <v>3225</v>
      </c>
    </row>
    <row r="29" customFormat="false" ht="15" hidden="false" customHeight="false" outlineLevel="0" collapsed="false">
      <c r="A29" s="0" t="n">
        <v>28</v>
      </c>
      <c r="B29" s="0" t="str">
        <f aca="false">B15</f>
        <v>SKU PROD E</v>
      </c>
      <c r="C29" s="2" t="n">
        <f aca="false">DATE(YEAR(C15),MONTH(C15)+1,DAY(C15))</f>
        <v>46081</v>
      </c>
      <c r="D29" s="0" t="n">
        <f aca="false">ROUNDUP(D15*IF(MONTH(C29)=2,IF(DAY(C29)&lt;15,1.05,1.075),IF(MONTH(C29)=3,IF(DAY(C29)&lt;20,0.98,1.015),IF(MONTH(C29)=4,IF(DAY(C29)&lt;17,1.025,0.95),IF(MONTH(C29)=5,IF(DAY(C29)&lt;22,0.95,1.05),IF(MONTH(C29)=6,0.95,IF(MONTH(C29)=7,IF(DAY(C29)&lt;10,1.15,0.95),IF(MONTH(C29)=8,IF(DAY(C29)&lt;25,0.85,1.03),IF(MONTH(C29)=9,IF(DAY(C29)&lt;25,0.85,1.03),IF(MONTH(C29)=10,IF(DAY(C29)&lt;11,0.9,0.95),IF(MONTH(C29)=11,IF(DAY(C29)&lt;13,1.12,1.06),IF(MONTH(C29)=12,IF(DAY(C29)&lt;10,1.06,1.12),1))))))))))),0)</f>
        <v>2150</v>
      </c>
    </row>
    <row r="30" customFormat="false" ht="15" hidden="false" customHeight="false" outlineLevel="0" collapsed="false">
      <c r="A30" s="0" t="n">
        <v>29</v>
      </c>
      <c r="B30" s="0" t="str">
        <f aca="false">B16</f>
        <v>SKU PROD A</v>
      </c>
      <c r="C30" s="2" t="n">
        <f aca="false">DATE(YEAR(C16),MONTH(C16)+1,DAY(C16))</f>
        <v>46084</v>
      </c>
      <c r="D30" s="0" t="n">
        <f aca="false">ROUNDUP(D16*IF(MONTH(C30)=2,IF(DAY(C30)&lt;15,1.05,1.075),IF(MONTH(C30)=3,IF(DAY(C30)&lt;20,0.98,1.015),IF(MONTH(C30)=4,IF(DAY(C30)&lt;17,1.025,0.95),IF(MONTH(C30)=5,IF(DAY(C30)&lt;22,0.95,1.05),IF(MONTH(C30)=6,0.95,IF(MONTH(C30)=7,IF(DAY(C30)&lt;10,1.15,0.95),IF(MONTH(C30)=8,IF(DAY(C30)&lt;25,0.85,1.03),IF(MONTH(C30)=9,IF(DAY(C30)&lt;25,0.85,1.03),IF(MONTH(C30)=10,IF(DAY(C30)&lt;11,0.9,0.95),IF(MONTH(C30)=11,IF(DAY(C30)&lt;13,1.12,1.06),IF(MONTH(C30)=12,IF(DAY(C30)&lt;10,1.06,1.12),1))))))))))),0)</f>
        <v>1029</v>
      </c>
    </row>
    <row r="31" customFormat="false" ht="15" hidden="false" customHeight="false" outlineLevel="0" collapsed="false">
      <c r="A31" s="0" t="n">
        <v>30</v>
      </c>
      <c r="B31" s="0" t="str">
        <f aca="false">B17</f>
        <v>SKU PROD B</v>
      </c>
      <c r="C31" s="2" t="n">
        <f aca="false">DATE(YEAR(C17),MONTH(C17)+1,DAY(C17))</f>
        <v>46084</v>
      </c>
      <c r="D31" s="0" t="n">
        <f aca="false">ROUNDUP(D17*IF(MONTH(C31)=2,IF(DAY(C31)&lt;15,1.05,1.075),IF(MONTH(C31)=3,IF(DAY(C31)&lt;20,0.98,1.015),IF(MONTH(C31)=4,IF(DAY(C31)&lt;17,1.025,0.95),IF(MONTH(C31)=5,IF(DAY(C31)&lt;22,0.95,1.05),IF(MONTH(C31)=6,0.95,IF(MONTH(C31)=7,IF(DAY(C31)&lt;10,1.15,0.95),IF(MONTH(C31)=8,IF(DAY(C31)&lt;25,0.85,1.03),IF(MONTH(C31)=9,IF(DAY(C31)&lt;25,0.85,1.03),IF(MONTH(C31)=10,IF(DAY(C31)&lt;11,0.9,0.95),IF(MONTH(C31)=11,IF(DAY(C31)&lt;13,1.12,1.06),IF(MONTH(C31)=12,IF(DAY(C31)&lt;10,1.06,1.12),1))))))))))),0)</f>
        <v>6174</v>
      </c>
    </row>
    <row r="32" customFormat="false" ht="15" hidden="false" customHeight="false" outlineLevel="0" collapsed="false">
      <c r="A32" s="0" t="n">
        <v>31</v>
      </c>
      <c r="B32" s="0" t="str">
        <f aca="false">B18</f>
        <v>SKU PROD A</v>
      </c>
      <c r="C32" s="2" t="n">
        <f aca="false">DATE(YEAR(C18),MONTH(C18)+1,DAY(C18))</f>
        <v>46085</v>
      </c>
      <c r="D32" s="0" t="n">
        <f aca="false">ROUNDUP(D18*IF(MONTH(C32)=2,IF(DAY(C32)&lt;15,1.05,1.075),IF(MONTH(C32)=3,IF(DAY(C32)&lt;20,0.98,1.015),IF(MONTH(C32)=4,IF(DAY(C32)&lt;17,1.025,0.95),IF(MONTH(C32)=5,IF(DAY(C32)&lt;22,0.95,1.05),IF(MONTH(C32)=6,0.95,IF(MONTH(C32)=7,IF(DAY(C32)&lt;10,1.15,0.95),IF(MONTH(C32)=8,IF(DAY(C32)&lt;25,0.85,1.03),IF(MONTH(C32)=9,IF(DAY(C32)&lt;25,0.85,1.03),IF(MONTH(C32)=10,IF(DAY(C32)&lt;11,0.9,0.95),IF(MONTH(C32)=11,IF(DAY(C32)&lt;13,1.12,1.06),IF(MONTH(C32)=12,IF(DAY(C32)&lt;10,1.06,1.12),1))))))))))),0)</f>
        <v>412</v>
      </c>
    </row>
    <row r="33" customFormat="false" ht="15" hidden="false" customHeight="false" outlineLevel="0" collapsed="false">
      <c r="A33" s="0" t="n">
        <v>32</v>
      </c>
      <c r="B33" s="0" t="str">
        <f aca="false">B19</f>
        <v>SKU PROD C</v>
      </c>
      <c r="C33" s="2" t="n">
        <f aca="false">DATE(YEAR(C19),MONTH(C19)+1,DAY(C19))</f>
        <v>46086</v>
      </c>
      <c r="D33" s="0" t="n">
        <f aca="false">ROUNDUP(D19*IF(MONTH(C33)=2,IF(DAY(C33)&lt;15,1.05,1.075),IF(MONTH(C33)=3,IF(DAY(C33)&lt;20,0.98,1.015),IF(MONTH(C33)=4,IF(DAY(C33)&lt;17,1.025,0.95),IF(MONTH(C33)=5,IF(DAY(C33)&lt;22,0.95,1.05),IF(MONTH(C33)=6,0.95,IF(MONTH(C33)=7,IF(DAY(C33)&lt;10,1.15,0.95),IF(MONTH(C33)=8,IF(DAY(C33)&lt;25,0.85,1.03),IF(MONTH(C33)=9,IF(DAY(C33)&lt;25,0.85,1.03),IF(MONTH(C33)=10,IF(DAY(C33)&lt;11,0.9,0.95),IF(MONTH(C33)=11,IF(DAY(C33)&lt;13,1.12,1.06),IF(MONTH(C33)=12,IF(DAY(C33)&lt;10,1.06,1.12),1))))))))))),0)</f>
        <v>927</v>
      </c>
    </row>
    <row r="34" customFormat="false" ht="15" hidden="false" customHeight="false" outlineLevel="0" collapsed="false">
      <c r="A34" s="0" t="n">
        <v>33</v>
      </c>
      <c r="B34" s="0" t="str">
        <f aca="false">B20</f>
        <v>SKU PROD D</v>
      </c>
      <c r="C34" s="2" t="n">
        <f aca="false">DATE(YEAR(C20),MONTH(C20)+1,DAY(C20))</f>
        <v>46087</v>
      </c>
      <c r="D34" s="0" t="n">
        <f aca="false">ROUNDUP(D20*IF(MONTH(C34)=2,IF(DAY(C34)&lt;15,1.05,1.075),IF(MONTH(C34)=3,IF(DAY(C34)&lt;20,0.98,1.015),IF(MONTH(C34)=4,IF(DAY(C34)&lt;17,1.025,0.95),IF(MONTH(C34)=5,IF(DAY(C34)&lt;22,0.95,1.05),IF(MONTH(C34)=6,0.95,IF(MONTH(C34)=7,IF(DAY(C34)&lt;10,1.15,0.95),IF(MONTH(C34)=8,IF(DAY(C34)&lt;25,0.85,1.03),IF(MONTH(C34)=9,IF(DAY(C34)&lt;25,0.85,1.03),IF(MONTH(C34)=10,IF(DAY(C34)&lt;11,0.9,0.95),IF(MONTH(C34)=11,IF(DAY(C34)&lt;13,1.12,1.06),IF(MONTH(C34)=12,IF(DAY(C34)&lt;10,1.06,1.12),1))))))))))),0)</f>
        <v>618</v>
      </c>
    </row>
    <row r="35" customFormat="false" ht="15" hidden="false" customHeight="false" outlineLevel="0" collapsed="false">
      <c r="A35" s="0" t="n">
        <v>34</v>
      </c>
      <c r="B35" s="0" t="str">
        <f aca="false">B21</f>
        <v>SKU PROD A</v>
      </c>
      <c r="C35" s="2" t="n">
        <f aca="false">DATE(YEAR(C21),MONTH(C21)+1,DAY(C21))</f>
        <v>46088</v>
      </c>
      <c r="D35" s="0" t="n">
        <f aca="false">ROUNDUP(D21*IF(MONTH(C35)=2,IF(DAY(C35)&lt;15,1.05,1.075),IF(MONTH(C35)=3,IF(DAY(C35)&lt;20,0.98,1.015),IF(MONTH(C35)=4,IF(DAY(C35)&lt;17,1.025,0.95),IF(MONTH(C35)=5,IF(DAY(C35)&lt;22,0.95,1.05),IF(MONTH(C35)=6,0.95,IF(MONTH(C35)=7,IF(DAY(C35)&lt;10,1.15,0.95),IF(MONTH(C35)=8,IF(DAY(C35)&lt;25,0.85,1.03),IF(MONTH(C35)=9,IF(DAY(C35)&lt;25,0.85,1.03),IF(MONTH(C35)=10,IF(DAY(C35)&lt;11,0.9,0.95),IF(MONTH(C35)=11,IF(DAY(C35)&lt;13,1.12,1.06),IF(MONTH(C35)=12,IF(DAY(C35)&lt;10,1.06,1.12),1))))))))))),0)</f>
        <v>1029</v>
      </c>
    </row>
    <row r="36" customFormat="false" ht="15" hidden="false" customHeight="false" outlineLevel="0" collapsed="false">
      <c r="A36" s="0" t="n">
        <v>35</v>
      </c>
      <c r="B36" s="0" t="str">
        <f aca="false">B22</f>
        <v>SKU PROD C</v>
      </c>
      <c r="C36" s="2" t="n">
        <f aca="false">DATE(YEAR(C22),MONTH(C22)+1,DAY(C22))</f>
        <v>46090</v>
      </c>
      <c r="D36" s="0" t="n">
        <f aca="false">ROUNDUP(D22*IF(MONTH(C36)=2,IF(DAY(C36)&lt;15,1.05,1.075),IF(MONTH(C36)=3,IF(DAY(C36)&lt;20,0.98,1.015),IF(MONTH(C36)=4,IF(DAY(C36)&lt;17,1.025,0.95),IF(MONTH(C36)=5,IF(DAY(C36)&lt;22,0.95,1.05),IF(MONTH(C36)=6,0.95,IF(MONTH(C36)=7,IF(DAY(C36)&lt;10,1.15,0.95),IF(MONTH(C36)=8,IF(DAY(C36)&lt;25,0.85,1.03),IF(MONTH(C36)=9,IF(DAY(C36)&lt;25,0.85,1.03),IF(MONTH(C36)=10,IF(DAY(C36)&lt;11,0.9,0.95),IF(MONTH(C36)=11,IF(DAY(C36)&lt;13,1.12,1.06),IF(MONTH(C36)=12,IF(DAY(C36)&lt;10,1.06,1.12),1))))))))))),0)</f>
        <v>515</v>
      </c>
    </row>
    <row r="37" customFormat="false" ht="15" hidden="false" customHeight="false" outlineLevel="0" collapsed="false">
      <c r="A37" s="0" t="n">
        <v>36</v>
      </c>
      <c r="B37" s="0" t="str">
        <f aca="false">B23</f>
        <v>SKU PROD E</v>
      </c>
      <c r="C37" s="2" t="n">
        <f aca="false">DATE(YEAR(C23),MONTH(C23)+1,DAY(C23))</f>
        <v>46093</v>
      </c>
      <c r="D37" s="0" t="n">
        <f aca="false">ROUNDUP(D23*IF(MONTH(C37)=2,IF(DAY(C37)&lt;15,1.05,1.075),IF(MONTH(C37)=3,IF(DAY(C37)&lt;20,0.98,1.015),IF(MONTH(C37)=4,IF(DAY(C37)&lt;17,1.025,0.95),IF(MONTH(C37)=5,IF(DAY(C37)&lt;22,0.95,1.05),IF(MONTH(C37)=6,0.95,IF(MONTH(C37)=7,IF(DAY(C37)&lt;10,1.15,0.95),IF(MONTH(C37)=8,IF(DAY(C37)&lt;25,0.85,1.03),IF(MONTH(C37)=9,IF(DAY(C37)&lt;25,0.85,1.03),IF(MONTH(C37)=10,IF(DAY(C37)&lt;11,0.9,0.95),IF(MONTH(C37)=11,IF(DAY(C37)&lt;13,1.12,1.06),IF(MONTH(C37)=12,IF(DAY(C37)&lt;10,1.06,1.12),1))))))))))),0)</f>
        <v>412</v>
      </c>
    </row>
    <row r="38" customFormat="false" ht="15" hidden="false" customHeight="false" outlineLevel="0" collapsed="false">
      <c r="A38" s="0" t="n">
        <v>37</v>
      </c>
      <c r="B38" s="0" t="str">
        <f aca="false">B24</f>
        <v>SKU PROD B</v>
      </c>
      <c r="C38" s="2" t="n">
        <f aca="false">DATE(YEAR(C24),MONTH(C24)+1,DAY(C24))</f>
        <v>46094</v>
      </c>
      <c r="D38" s="0" t="n">
        <f aca="false">ROUNDUP(D24*IF(MONTH(C38)=2,IF(DAY(C38)&lt;15,1.05,1.075),IF(MONTH(C38)=3,IF(DAY(C38)&lt;20,0.98,1.015),IF(MONTH(C38)=4,IF(DAY(C38)&lt;17,1.025,0.95),IF(MONTH(C38)=5,IF(DAY(C38)&lt;22,0.95,1.05),IF(MONTH(C38)=6,0.95,IF(MONTH(C38)=7,IF(DAY(C38)&lt;10,1.15,0.95),IF(MONTH(C38)=8,IF(DAY(C38)&lt;25,0.85,1.03),IF(MONTH(C38)=9,IF(DAY(C38)&lt;25,0.85,1.03),IF(MONTH(C38)=10,IF(DAY(C38)&lt;11,0.9,0.95),IF(MONTH(C38)=11,IF(DAY(C38)&lt;13,1.12,1.06),IF(MONTH(C38)=12,IF(DAY(C38)&lt;10,1.06,1.12),1))))))))))),0)</f>
        <v>618</v>
      </c>
    </row>
    <row r="39" customFormat="false" ht="15" hidden="false" customHeight="false" outlineLevel="0" collapsed="false">
      <c r="A39" s="0" t="n">
        <v>38</v>
      </c>
      <c r="B39" s="0" t="str">
        <f aca="false">B25</f>
        <v>SKU PROD D</v>
      </c>
      <c r="C39" s="2" t="n">
        <f aca="false">DATE(YEAR(C25),MONTH(C25)+1,DAY(C25))</f>
        <v>46098</v>
      </c>
      <c r="D39" s="0" t="n">
        <f aca="false">ROUNDUP(D25*IF(MONTH(C39)=2,IF(DAY(C39)&lt;15,1.05,1.075),IF(MONTH(C39)=3,IF(DAY(C39)&lt;20,0.98,1.015),IF(MONTH(C39)=4,IF(DAY(C39)&lt;17,1.025,0.95),IF(MONTH(C39)=5,IF(DAY(C39)&lt;22,0.95,1.05),IF(MONTH(C39)=6,0.95,IF(MONTH(C39)=7,IF(DAY(C39)&lt;10,1.15,0.95),IF(MONTH(C39)=8,IF(DAY(C39)&lt;25,0.85,1.03),IF(MONTH(C39)=9,IF(DAY(C39)&lt;25,0.85,1.03),IF(MONTH(C39)=10,IF(DAY(C39)&lt;11,0.9,0.95),IF(MONTH(C39)=11,IF(DAY(C39)&lt;13,1.12,1.06),IF(MONTH(C39)=12,IF(DAY(C39)&lt;10,1.06,1.12),1))))))))))),0)</f>
        <v>949</v>
      </c>
    </row>
    <row r="40" customFormat="false" ht="15" hidden="false" customHeight="false" outlineLevel="0" collapsed="false">
      <c r="A40" s="0" t="n">
        <v>39</v>
      </c>
      <c r="B40" s="0" t="str">
        <f aca="false">B26</f>
        <v>SKU PROD C</v>
      </c>
      <c r="C40" s="2" t="n">
        <f aca="false">DATE(YEAR(C26),MONTH(C26)+1,DAY(C26))</f>
        <v>46101</v>
      </c>
      <c r="D40" s="0" t="n">
        <f aca="false">ROUNDUP(D26*IF(MONTH(C40)=2,IF(DAY(C40)&lt;15,1.05,1.075),IF(MONTH(C40)=3,IF(DAY(C40)&lt;20,0.98,1.015),IF(MONTH(C40)=4,IF(DAY(C40)&lt;17,1.025,0.95),IF(MONTH(C40)=5,IF(DAY(C40)&lt;22,0.95,1.05),IF(MONTH(C40)=6,0.95,IF(MONTH(C40)=7,IF(DAY(C40)&lt;10,1.15,0.95),IF(MONTH(C40)=8,IF(DAY(C40)&lt;25,0.85,1.03),IF(MONTH(C40)=9,IF(DAY(C40)&lt;25,0.85,1.03),IF(MONTH(C40)=10,IF(DAY(C40)&lt;11,0.9,0.95),IF(MONTH(C40)=11,IF(DAY(C40)&lt;13,1.12,1.06),IF(MONTH(C40)=12,IF(DAY(C40)&lt;10,1.06,1.12),1))))))))))),0)</f>
        <v>873</v>
      </c>
    </row>
    <row r="41" customFormat="false" ht="15" hidden="false" customHeight="false" outlineLevel="0" collapsed="false">
      <c r="A41" s="0" t="n">
        <v>40</v>
      </c>
      <c r="B41" s="0" t="str">
        <f aca="false">B27</f>
        <v>SKU PROD A</v>
      </c>
      <c r="C41" s="2" t="n">
        <f aca="false">DATE(YEAR(C27),MONTH(C27)+1,DAY(C27))</f>
        <v>46105</v>
      </c>
      <c r="D41" s="0" t="n">
        <f aca="false">ROUNDUP(D27*IF(MONTH(C41)=2,IF(DAY(C41)&lt;15,1.05,1.075),IF(MONTH(C41)=3,IF(DAY(C41)&lt;20,0.98,1.015),IF(MONTH(C41)=4,IF(DAY(C41)&lt;17,1.025,0.95),IF(MONTH(C41)=5,IF(DAY(C41)&lt;22,0.95,1.05),IF(MONTH(C41)=6,0.95,IF(MONTH(C41)=7,IF(DAY(C41)&lt;10,1.15,0.95),IF(MONTH(C41)=8,IF(DAY(C41)&lt;25,0.85,1.03),IF(MONTH(C41)=9,IF(DAY(C41)&lt;25,0.85,1.03),IF(MONTH(C41)=10,IF(DAY(C41)&lt;11,0.9,0.95),IF(MONTH(C41)=11,IF(DAY(C41)&lt;13,1.12,1.06),IF(MONTH(C41)=12,IF(DAY(C41)&lt;10,1.06,1.12),1))))))))))),0)</f>
        <v>1092</v>
      </c>
    </row>
    <row r="42" customFormat="false" ht="15" hidden="false" customHeight="false" outlineLevel="0" collapsed="false">
      <c r="A42" s="0" t="n">
        <v>41</v>
      </c>
      <c r="B42" s="0" t="str">
        <f aca="false">B28</f>
        <v>SKU PROD D</v>
      </c>
      <c r="C42" s="2" t="n">
        <f aca="false">DATE(YEAR(C28),MONTH(C28)+1,DAY(C28))</f>
        <v>46109</v>
      </c>
      <c r="D42" s="0" t="n">
        <f aca="false">ROUNDUP(D28*IF(MONTH(C42)=2,IF(DAY(C42)&lt;15,1.05,1.075),IF(MONTH(C42)=3,IF(DAY(C42)&lt;20,0.98,1.015),IF(MONTH(C42)=4,IF(DAY(C42)&lt;17,1.025,0.95),IF(MONTH(C42)=5,IF(DAY(C42)&lt;22,0.95,1.05),IF(MONTH(C42)=6,0.95,IF(MONTH(C42)=7,IF(DAY(C42)&lt;10,1.15,0.95),IF(MONTH(C42)=8,IF(DAY(C42)&lt;25,0.85,1.03),IF(MONTH(C42)=9,IF(DAY(C42)&lt;25,0.85,1.03),IF(MONTH(C42)=10,IF(DAY(C42)&lt;11,0.9,0.95),IF(MONTH(C42)=11,IF(DAY(C42)&lt;13,1.12,1.06),IF(MONTH(C42)=12,IF(DAY(C42)&lt;10,1.06,1.12),1))))))))))),0)</f>
        <v>3274</v>
      </c>
    </row>
    <row r="43" customFormat="false" ht="15" hidden="false" customHeight="false" outlineLevel="0" collapsed="false">
      <c r="A43" s="0" t="n">
        <v>42</v>
      </c>
      <c r="B43" s="0" t="str">
        <f aca="false">B29</f>
        <v>SKU PROD E</v>
      </c>
      <c r="C43" s="2" t="n">
        <f aca="false">DATE(YEAR(C29),MONTH(C29)+1,DAY(C29))</f>
        <v>46109</v>
      </c>
      <c r="D43" s="0" t="n">
        <f aca="false">ROUNDUP(D29*IF(MONTH(C43)=2,IF(DAY(C43)&lt;15,1.05,1.075),IF(MONTH(C43)=3,IF(DAY(C43)&lt;20,0.98,1.015),IF(MONTH(C43)=4,IF(DAY(C43)&lt;17,1.025,0.95),IF(MONTH(C43)=5,IF(DAY(C43)&lt;22,0.95,1.05),IF(MONTH(C43)=6,0.95,IF(MONTH(C43)=7,IF(DAY(C43)&lt;10,1.15,0.95),IF(MONTH(C43)=8,IF(DAY(C43)&lt;25,0.85,1.03),IF(MONTH(C43)=9,IF(DAY(C43)&lt;25,0.85,1.03),IF(MONTH(C43)=10,IF(DAY(C43)&lt;11,0.9,0.95),IF(MONTH(C43)=11,IF(DAY(C43)&lt;13,1.12,1.06),IF(MONTH(C43)=12,IF(DAY(C43)&lt;10,1.06,1.12),1))))))))))),0)</f>
        <v>2183</v>
      </c>
    </row>
    <row r="44" customFormat="false" ht="15" hidden="false" customHeight="false" outlineLevel="0" collapsed="false">
      <c r="A44" s="0" t="n">
        <v>43</v>
      </c>
      <c r="B44" s="0" t="str">
        <f aca="false">B30</f>
        <v>SKU PROD A</v>
      </c>
      <c r="C44" s="2" t="n">
        <f aca="false">DATE(YEAR(C30),MONTH(C30)+1,DAY(C30))</f>
        <v>46115</v>
      </c>
      <c r="D44" s="0" t="n">
        <f aca="false">ROUNDUP(D30*IF(MONTH(C44)=2,IF(DAY(C44)&lt;15,1.05,1.075),IF(MONTH(C44)=3,IF(DAY(C44)&lt;20,0.98,1.015),IF(MONTH(C44)=4,IF(DAY(C44)&lt;17,1.025,0.95),IF(MONTH(C44)=5,IF(DAY(C44)&lt;22,0.95,1.05),IF(MONTH(C44)=6,0.95,IF(MONTH(C44)=7,IF(DAY(C44)&lt;10,1.15,0.95),IF(MONTH(C44)=8,IF(DAY(C44)&lt;25,0.85,1.03),IF(MONTH(C44)=9,IF(DAY(C44)&lt;25,0.85,1.03),IF(MONTH(C44)=10,IF(DAY(C44)&lt;11,0.9,0.95),IF(MONTH(C44)=11,IF(DAY(C44)&lt;13,1.12,1.06),IF(MONTH(C44)=12,IF(DAY(C44)&lt;10,1.06,1.12),1))))))))))),0)</f>
        <v>1055</v>
      </c>
    </row>
    <row r="45" customFormat="false" ht="15" hidden="false" customHeight="false" outlineLevel="0" collapsed="false">
      <c r="A45" s="0" t="n">
        <v>44</v>
      </c>
      <c r="B45" s="0" t="str">
        <f aca="false">B31</f>
        <v>SKU PROD B</v>
      </c>
      <c r="C45" s="2" t="n">
        <f aca="false">DATE(YEAR(C31),MONTH(C31)+1,DAY(C31))</f>
        <v>46115</v>
      </c>
      <c r="D45" s="0" t="n">
        <f aca="false">ROUNDUP(D31*IF(MONTH(C45)=2,IF(DAY(C45)&lt;15,1.05,1.075),IF(MONTH(C45)=3,IF(DAY(C45)&lt;20,0.98,1.015),IF(MONTH(C45)=4,IF(DAY(C45)&lt;17,1.025,0.95),IF(MONTH(C45)=5,IF(DAY(C45)&lt;22,0.95,1.05),IF(MONTH(C45)=6,0.95,IF(MONTH(C45)=7,IF(DAY(C45)&lt;10,1.15,0.95),IF(MONTH(C45)=8,IF(DAY(C45)&lt;25,0.85,1.03),IF(MONTH(C45)=9,IF(DAY(C45)&lt;25,0.85,1.03),IF(MONTH(C45)=10,IF(DAY(C45)&lt;11,0.9,0.95),IF(MONTH(C45)=11,IF(DAY(C45)&lt;13,1.12,1.06),IF(MONTH(C45)=12,IF(DAY(C45)&lt;10,1.06,1.12),1))))))))))),0)</f>
        <v>6329</v>
      </c>
    </row>
    <row r="46" customFormat="false" ht="15" hidden="false" customHeight="false" outlineLevel="0" collapsed="false">
      <c r="A46" s="0" t="n">
        <v>45</v>
      </c>
      <c r="B46" s="0" t="str">
        <f aca="false">B32</f>
        <v>SKU PROD A</v>
      </c>
      <c r="C46" s="2" t="n">
        <f aca="false">DATE(YEAR(C32),MONTH(C32)+1,DAY(C32))</f>
        <v>46116</v>
      </c>
      <c r="D46" s="0" t="n">
        <f aca="false">ROUNDUP(D32*IF(MONTH(C46)=2,IF(DAY(C46)&lt;15,1.05,1.075),IF(MONTH(C46)=3,IF(DAY(C46)&lt;20,0.98,1.015),IF(MONTH(C46)=4,IF(DAY(C46)&lt;17,1.025,0.95),IF(MONTH(C46)=5,IF(DAY(C46)&lt;22,0.95,1.05),IF(MONTH(C46)=6,0.95,IF(MONTH(C46)=7,IF(DAY(C46)&lt;10,1.15,0.95),IF(MONTH(C46)=8,IF(DAY(C46)&lt;25,0.85,1.03),IF(MONTH(C46)=9,IF(DAY(C46)&lt;25,0.85,1.03),IF(MONTH(C46)=10,IF(DAY(C46)&lt;11,0.9,0.95),IF(MONTH(C46)=11,IF(DAY(C46)&lt;13,1.12,1.06),IF(MONTH(C46)=12,IF(DAY(C46)&lt;10,1.06,1.12),1))))))))))),0)</f>
        <v>423</v>
      </c>
    </row>
    <row r="47" customFormat="false" ht="15" hidden="false" customHeight="false" outlineLevel="0" collapsed="false">
      <c r="A47" s="0" t="n">
        <v>46</v>
      </c>
      <c r="B47" s="0" t="str">
        <f aca="false">B33</f>
        <v>SKU PROD C</v>
      </c>
      <c r="C47" s="2" t="n">
        <f aca="false">DATE(YEAR(C33),MONTH(C33)+1,DAY(C33))</f>
        <v>46117</v>
      </c>
      <c r="D47" s="0" t="n">
        <f aca="false">ROUNDUP(D33*IF(MONTH(C47)=2,IF(DAY(C47)&lt;15,1.05,1.075),IF(MONTH(C47)=3,IF(DAY(C47)&lt;20,0.98,1.015),IF(MONTH(C47)=4,IF(DAY(C47)&lt;17,1.025,0.95),IF(MONTH(C47)=5,IF(DAY(C47)&lt;22,0.95,1.05),IF(MONTH(C47)=6,0.95,IF(MONTH(C47)=7,IF(DAY(C47)&lt;10,1.15,0.95),IF(MONTH(C47)=8,IF(DAY(C47)&lt;25,0.85,1.03),IF(MONTH(C47)=9,IF(DAY(C47)&lt;25,0.85,1.03),IF(MONTH(C47)=10,IF(DAY(C47)&lt;11,0.9,0.95),IF(MONTH(C47)=11,IF(DAY(C47)&lt;13,1.12,1.06),IF(MONTH(C47)=12,IF(DAY(C47)&lt;10,1.06,1.12),1))))))))))),0)</f>
        <v>951</v>
      </c>
    </row>
    <row r="48" customFormat="false" ht="15" hidden="false" customHeight="false" outlineLevel="0" collapsed="false">
      <c r="A48" s="0" t="n">
        <v>47</v>
      </c>
      <c r="B48" s="0" t="str">
        <f aca="false">B34</f>
        <v>SKU PROD D</v>
      </c>
      <c r="C48" s="2" t="n">
        <f aca="false">DATE(YEAR(C34),MONTH(C34)+1,DAY(C34))</f>
        <v>46118</v>
      </c>
      <c r="D48" s="0" t="n">
        <f aca="false">ROUNDUP(D34*IF(MONTH(C48)=2,IF(DAY(C48)&lt;15,1.05,1.075),IF(MONTH(C48)=3,IF(DAY(C48)&lt;20,0.98,1.015),IF(MONTH(C48)=4,IF(DAY(C48)&lt;17,1.025,0.95),IF(MONTH(C48)=5,IF(DAY(C48)&lt;22,0.95,1.05),IF(MONTH(C48)=6,0.95,IF(MONTH(C48)=7,IF(DAY(C48)&lt;10,1.15,0.95),IF(MONTH(C48)=8,IF(DAY(C48)&lt;25,0.85,1.03),IF(MONTH(C48)=9,IF(DAY(C48)&lt;25,0.85,1.03),IF(MONTH(C48)=10,IF(DAY(C48)&lt;11,0.9,0.95),IF(MONTH(C48)=11,IF(DAY(C48)&lt;13,1.12,1.06),IF(MONTH(C48)=12,IF(DAY(C48)&lt;10,1.06,1.12),1))))))))))),0)</f>
        <v>634</v>
      </c>
    </row>
    <row r="49" customFormat="false" ht="15" hidden="false" customHeight="false" outlineLevel="0" collapsed="false">
      <c r="A49" s="0" t="n">
        <v>48</v>
      </c>
      <c r="B49" s="0" t="str">
        <f aca="false">B35</f>
        <v>SKU PROD A</v>
      </c>
      <c r="C49" s="2" t="n">
        <f aca="false">DATE(YEAR(C35),MONTH(C35)+1,DAY(C35))</f>
        <v>46119</v>
      </c>
      <c r="D49" s="0" t="n">
        <f aca="false">ROUNDUP(D35*IF(MONTH(C49)=2,IF(DAY(C49)&lt;15,1.05,1.075),IF(MONTH(C49)=3,IF(DAY(C49)&lt;20,0.98,1.015),IF(MONTH(C49)=4,IF(DAY(C49)&lt;17,1.025,0.95),IF(MONTH(C49)=5,IF(DAY(C49)&lt;22,0.95,1.05),IF(MONTH(C49)=6,0.95,IF(MONTH(C49)=7,IF(DAY(C49)&lt;10,1.15,0.95),IF(MONTH(C49)=8,IF(DAY(C49)&lt;25,0.85,1.03),IF(MONTH(C49)=9,IF(DAY(C49)&lt;25,0.85,1.03),IF(MONTH(C49)=10,IF(DAY(C49)&lt;11,0.9,0.95),IF(MONTH(C49)=11,IF(DAY(C49)&lt;13,1.12,1.06),IF(MONTH(C49)=12,IF(DAY(C49)&lt;10,1.06,1.12),1))))))))))),0)</f>
        <v>1055</v>
      </c>
    </row>
    <row r="50" customFormat="false" ht="15" hidden="false" customHeight="false" outlineLevel="0" collapsed="false">
      <c r="A50" s="0" t="n">
        <v>49</v>
      </c>
      <c r="B50" s="0" t="str">
        <f aca="false">B36</f>
        <v>SKU PROD C</v>
      </c>
      <c r="C50" s="2" t="n">
        <f aca="false">DATE(YEAR(C36),MONTH(C36)+1,DAY(C36))</f>
        <v>46121</v>
      </c>
      <c r="D50" s="0" t="n">
        <f aca="false">ROUNDUP(D36*IF(MONTH(C50)=2,IF(DAY(C50)&lt;15,1.05,1.075),IF(MONTH(C50)=3,IF(DAY(C50)&lt;20,0.98,1.015),IF(MONTH(C50)=4,IF(DAY(C50)&lt;17,1.025,0.95),IF(MONTH(C50)=5,IF(DAY(C50)&lt;22,0.95,1.05),IF(MONTH(C50)=6,0.95,IF(MONTH(C50)=7,IF(DAY(C50)&lt;10,1.15,0.95),IF(MONTH(C50)=8,IF(DAY(C50)&lt;25,0.85,1.03),IF(MONTH(C50)=9,IF(DAY(C50)&lt;25,0.85,1.03),IF(MONTH(C50)=10,IF(DAY(C50)&lt;11,0.9,0.95),IF(MONTH(C50)=11,IF(DAY(C50)&lt;13,1.12,1.06),IF(MONTH(C50)=12,IF(DAY(C50)&lt;10,1.06,1.12),1))))))))))),0)</f>
        <v>528</v>
      </c>
    </row>
    <row r="51" customFormat="false" ht="15" hidden="false" customHeight="false" outlineLevel="0" collapsed="false">
      <c r="A51" s="0" t="n">
        <v>50</v>
      </c>
      <c r="B51" s="0" t="str">
        <f aca="false">B37</f>
        <v>SKU PROD E</v>
      </c>
      <c r="C51" s="2" t="n">
        <f aca="false">DATE(YEAR(C37),MONTH(C37)+1,DAY(C37))</f>
        <v>46124</v>
      </c>
      <c r="D51" s="0" t="n">
        <f aca="false">ROUNDUP(D37*IF(MONTH(C51)=2,IF(DAY(C51)&lt;15,1.05,1.075),IF(MONTH(C51)=3,IF(DAY(C51)&lt;20,0.98,1.015),IF(MONTH(C51)=4,IF(DAY(C51)&lt;17,1.025,0.95),IF(MONTH(C51)=5,IF(DAY(C51)&lt;22,0.95,1.05),IF(MONTH(C51)=6,0.95,IF(MONTH(C51)=7,IF(DAY(C51)&lt;10,1.15,0.95),IF(MONTH(C51)=8,IF(DAY(C51)&lt;25,0.85,1.03),IF(MONTH(C51)=9,IF(DAY(C51)&lt;25,0.85,1.03),IF(MONTH(C51)=10,IF(DAY(C51)&lt;11,0.9,0.95),IF(MONTH(C51)=11,IF(DAY(C51)&lt;13,1.12,1.06),IF(MONTH(C51)=12,IF(DAY(C51)&lt;10,1.06,1.12),1))))))))))),0)</f>
        <v>423</v>
      </c>
    </row>
    <row r="52" customFormat="false" ht="15" hidden="false" customHeight="false" outlineLevel="0" collapsed="false">
      <c r="A52" s="0" t="n">
        <v>51</v>
      </c>
      <c r="B52" s="0" t="str">
        <f aca="false">B38</f>
        <v>SKU PROD B</v>
      </c>
      <c r="C52" s="2" t="n">
        <f aca="false">DATE(YEAR(C38),MONTH(C38)+1,DAY(C38))</f>
        <v>46125</v>
      </c>
      <c r="D52" s="0" t="n">
        <f aca="false">ROUNDUP(D38*IF(MONTH(C52)=2,IF(DAY(C52)&lt;15,1.05,1.075),IF(MONTH(C52)=3,IF(DAY(C52)&lt;20,0.98,1.015),IF(MONTH(C52)=4,IF(DAY(C52)&lt;17,1.025,0.95),IF(MONTH(C52)=5,IF(DAY(C52)&lt;22,0.95,1.05),IF(MONTH(C52)=6,0.95,IF(MONTH(C52)=7,IF(DAY(C52)&lt;10,1.15,0.95),IF(MONTH(C52)=8,IF(DAY(C52)&lt;25,0.85,1.03),IF(MONTH(C52)=9,IF(DAY(C52)&lt;25,0.85,1.03),IF(MONTH(C52)=10,IF(DAY(C52)&lt;11,0.9,0.95),IF(MONTH(C52)=11,IF(DAY(C52)&lt;13,1.12,1.06),IF(MONTH(C52)=12,IF(DAY(C52)&lt;10,1.06,1.12),1))))))))))),0)</f>
        <v>634</v>
      </c>
    </row>
    <row r="53" customFormat="false" ht="15" hidden="false" customHeight="false" outlineLevel="0" collapsed="false">
      <c r="A53" s="0" t="n">
        <v>52</v>
      </c>
      <c r="B53" s="0" t="str">
        <f aca="false">B39</f>
        <v>SKU PROD D</v>
      </c>
      <c r="C53" s="2" t="n">
        <f aca="false">DATE(YEAR(C39),MONTH(C39)+1,DAY(C39))</f>
        <v>46129</v>
      </c>
      <c r="D53" s="0" t="n">
        <f aca="false">ROUNDUP(D39*IF(MONTH(C53)=2,IF(DAY(C53)&lt;15,1.05,1.075),IF(MONTH(C53)=3,IF(DAY(C53)&lt;20,0.98,1.015),IF(MONTH(C53)=4,IF(DAY(C53)&lt;17,1.025,0.95),IF(MONTH(C53)=5,IF(DAY(C53)&lt;22,0.95,1.05),IF(MONTH(C53)=6,0.95,IF(MONTH(C53)=7,IF(DAY(C53)&lt;10,1.15,0.95),IF(MONTH(C53)=8,IF(DAY(C53)&lt;25,0.85,1.03),IF(MONTH(C53)=9,IF(DAY(C53)&lt;25,0.85,1.03),IF(MONTH(C53)=10,IF(DAY(C53)&lt;11,0.9,0.95),IF(MONTH(C53)=11,IF(DAY(C53)&lt;13,1.12,1.06),IF(MONTH(C53)=12,IF(DAY(C53)&lt;10,1.06,1.12),1))))))))))),0)</f>
        <v>902</v>
      </c>
    </row>
    <row r="54" customFormat="false" ht="15" hidden="false" customHeight="false" outlineLevel="0" collapsed="false">
      <c r="A54" s="0" t="n">
        <v>53</v>
      </c>
      <c r="B54" s="0" t="str">
        <f aca="false">B40</f>
        <v>SKU PROD C</v>
      </c>
      <c r="C54" s="2" t="n">
        <f aca="false">DATE(YEAR(C40),MONTH(C40)+1,DAY(C40))</f>
        <v>46132</v>
      </c>
      <c r="D54" s="0" t="n">
        <f aca="false">ROUNDUP(D40*IF(MONTH(C54)=2,IF(DAY(C54)&lt;15,1.05,1.075),IF(MONTH(C54)=3,IF(DAY(C54)&lt;20,0.98,1.015),IF(MONTH(C54)=4,IF(DAY(C54)&lt;17,1.025,0.95),IF(MONTH(C54)=5,IF(DAY(C54)&lt;22,0.95,1.05),IF(MONTH(C54)=6,0.95,IF(MONTH(C54)=7,IF(DAY(C54)&lt;10,1.15,0.95),IF(MONTH(C54)=8,IF(DAY(C54)&lt;25,0.85,1.03),IF(MONTH(C54)=9,IF(DAY(C54)&lt;25,0.85,1.03),IF(MONTH(C54)=10,IF(DAY(C54)&lt;11,0.9,0.95),IF(MONTH(C54)=11,IF(DAY(C54)&lt;13,1.12,1.06),IF(MONTH(C54)=12,IF(DAY(C54)&lt;10,1.06,1.12),1))))))))))),0)</f>
        <v>830</v>
      </c>
    </row>
    <row r="55" customFormat="false" ht="15" hidden="false" customHeight="false" outlineLevel="0" collapsed="false">
      <c r="A55" s="0" t="n">
        <v>54</v>
      </c>
      <c r="B55" s="0" t="str">
        <f aca="false">B41</f>
        <v>SKU PROD A</v>
      </c>
      <c r="C55" s="2" t="n">
        <f aca="false">DATE(YEAR(C41),MONTH(C41)+1,DAY(C41))</f>
        <v>46136</v>
      </c>
      <c r="D55" s="0" t="n">
        <f aca="false">ROUNDUP(D41*IF(MONTH(C55)=2,IF(DAY(C55)&lt;15,1.05,1.075),IF(MONTH(C55)=3,IF(DAY(C55)&lt;20,0.98,1.015),IF(MONTH(C55)=4,IF(DAY(C55)&lt;17,1.025,0.95),IF(MONTH(C55)=5,IF(DAY(C55)&lt;22,0.95,1.05),IF(MONTH(C55)=6,0.95,IF(MONTH(C55)=7,IF(DAY(C55)&lt;10,1.15,0.95),IF(MONTH(C55)=8,IF(DAY(C55)&lt;25,0.85,1.03),IF(MONTH(C55)=9,IF(DAY(C55)&lt;25,0.85,1.03),IF(MONTH(C55)=10,IF(DAY(C55)&lt;11,0.9,0.95),IF(MONTH(C55)=11,IF(DAY(C55)&lt;13,1.12,1.06),IF(MONTH(C55)=12,IF(DAY(C55)&lt;10,1.06,1.12),1))))))))))),0)</f>
        <v>1038</v>
      </c>
    </row>
    <row r="56" customFormat="false" ht="15" hidden="false" customHeight="false" outlineLevel="0" collapsed="false">
      <c r="A56" s="0" t="n">
        <v>55</v>
      </c>
      <c r="B56" s="0" t="str">
        <f aca="false">B42</f>
        <v>SKU PROD D</v>
      </c>
      <c r="C56" s="2" t="n">
        <f aca="false">DATE(YEAR(C42),MONTH(C42)+1,DAY(C42))</f>
        <v>46140</v>
      </c>
      <c r="D56" s="0" t="n">
        <f aca="false">ROUNDUP(D42*IF(MONTH(C56)=2,IF(DAY(C56)&lt;15,1.05,1.075),IF(MONTH(C56)=3,IF(DAY(C56)&lt;20,0.98,1.015),IF(MONTH(C56)=4,IF(DAY(C56)&lt;17,1.025,0.95),IF(MONTH(C56)=5,IF(DAY(C56)&lt;22,0.95,1.05),IF(MONTH(C56)=6,0.95,IF(MONTH(C56)=7,IF(DAY(C56)&lt;10,1.15,0.95),IF(MONTH(C56)=8,IF(DAY(C56)&lt;25,0.85,1.03),IF(MONTH(C56)=9,IF(DAY(C56)&lt;25,0.85,1.03),IF(MONTH(C56)=10,IF(DAY(C56)&lt;11,0.9,0.95),IF(MONTH(C56)=11,IF(DAY(C56)&lt;13,1.12,1.06),IF(MONTH(C56)=12,IF(DAY(C56)&lt;10,1.06,1.12),1))))))))))),0)</f>
        <v>3111</v>
      </c>
    </row>
    <row r="57" customFormat="false" ht="15" hidden="false" customHeight="false" outlineLevel="0" collapsed="false">
      <c r="A57" s="0" t="n">
        <v>56</v>
      </c>
      <c r="B57" s="0" t="str">
        <f aca="false">B43</f>
        <v>SKU PROD E</v>
      </c>
      <c r="C57" s="2" t="n">
        <f aca="false">DATE(YEAR(C43),MONTH(C43)+1,DAY(C43))</f>
        <v>46140</v>
      </c>
      <c r="D57" s="0" t="n">
        <f aca="false">ROUNDUP(D43*IF(MONTH(C57)=2,IF(DAY(C57)&lt;15,1.05,1.075),IF(MONTH(C57)=3,IF(DAY(C57)&lt;20,0.98,1.015),IF(MONTH(C57)=4,IF(DAY(C57)&lt;17,1.025,0.95),IF(MONTH(C57)=5,IF(DAY(C57)&lt;22,0.95,1.05),IF(MONTH(C57)=6,0.95,IF(MONTH(C57)=7,IF(DAY(C57)&lt;10,1.15,0.95),IF(MONTH(C57)=8,IF(DAY(C57)&lt;25,0.85,1.03),IF(MONTH(C57)=9,IF(DAY(C57)&lt;25,0.85,1.03),IF(MONTH(C57)=10,IF(DAY(C57)&lt;11,0.9,0.95),IF(MONTH(C57)=11,IF(DAY(C57)&lt;13,1.12,1.06),IF(MONTH(C57)=12,IF(DAY(C57)&lt;10,1.06,1.12),1))))))))))),0)</f>
        <v>2074</v>
      </c>
    </row>
    <row r="58" customFormat="false" ht="15" hidden="false" customHeight="false" outlineLevel="0" collapsed="false">
      <c r="A58" s="0" t="n">
        <v>57</v>
      </c>
      <c r="B58" s="0" t="str">
        <f aca="false">B44</f>
        <v>SKU PROD A</v>
      </c>
      <c r="C58" s="2" t="n">
        <f aca="false">DATE(YEAR(C44),MONTH(C44)+1,DAY(C44))</f>
        <v>46145</v>
      </c>
      <c r="D58" s="0" t="n">
        <f aca="false">ROUNDUP(D44*IF(MONTH(C58)=2,IF(DAY(C58)&lt;15,1.05,1.075),IF(MONTH(C58)=3,IF(DAY(C58)&lt;20,0.98,1.015),IF(MONTH(C58)=4,IF(DAY(C58)&lt;17,1.025,0.95),IF(MONTH(C58)=5,IF(DAY(C58)&lt;22,0.95,1.05),IF(MONTH(C58)=6,0.95,IF(MONTH(C58)=7,IF(DAY(C58)&lt;10,1.15,0.95),IF(MONTH(C58)=8,IF(DAY(C58)&lt;25,0.85,1.03),IF(MONTH(C58)=9,IF(DAY(C58)&lt;25,0.85,1.03),IF(MONTH(C58)=10,IF(DAY(C58)&lt;11,0.9,0.95),IF(MONTH(C58)=11,IF(DAY(C58)&lt;13,1.12,1.06),IF(MONTH(C58)=12,IF(DAY(C58)&lt;10,1.06,1.12),1))))))))))),0)</f>
        <v>1003</v>
      </c>
    </row>
    <row r="59" customFormat="false" ht="15" hidden="false" customHeight="false" outlineLevel="0" collapsed="false">
      <c r="A59" s="0" t="n">
        <v>58</v>
      </c>
      <c r="B59" s="0" t="str">
        <f aca="false">B45</f>
        <v>SKU PROD B</v>
      </c>
      <c r="C59" s="2" t="n">
        <f aca="false">DATE(YEAR(C45),MONTH(C45)+1,DAY(C45))</f>
        <v>46145</v>
      </c>
      <c r="D59" s="0" t="n">
        <f aca="false">ROUNDUP(D45*IF(MONTH(C59)=2,IF(DAY(C59)&lt;15,1.05,1.075),IF(MONTH(C59)=3,IF(DAY(C59)&lt;20,0.98,1.015),IF(MONTH(C59)=4,IF(DAY(C59)&lt;17,1.025,0.95),IF(MONTH(C59)=5,IF(DAY(C59)&lt;22,0.95,1.05),IF(MONTH(C59)=6,0.95,IF(MONTH(C59)=7,IF(DAY(C59)&lt;10,1.15,0.95),IF(MONTH(C59)=8,IF(DAY(C59)&lt;25,0.85,1.03),IF(MONTH(C59)=9,IF(DAY(C59)&lt;25,0.85,1.03),IF(MONTH(C59)=10,IF(DAY(C59)&lt;11,0.9,0.95),IF(MONTH(C59)=11,IF(DAY(C59)&lt;13,1.12,1.06),IF(MONTH(C59)=12,IF(DAY(C59)&lt;10,1.06,1.12),1))))))))))),0)</f>
        <v>6013</v>
      </c>
    </row>
    <row r="60" customFormat="false" ht="15" hidden="false" customHeight="false" outlineLevel="0" collapsed="false">
      <c r="A60" s="0" t="n">
        <v>59</v>
      </c>
      <c r="B60" s="0" t="str">
        <f aca="false">B46</f>
        <v>SKU PROD A</v>
      </c>
      <c r="C60" s="2" t="n">
        <f aca="false">DATE(YEAR(C46),MONTH(C46)+1,DAY(C46))</f>
        <v>46146</v>
      </c>
      <c r="D60" s="0" t="n">
        <f aca="false">ROUNDUP(D46*IF(MONTH(C60)=2,IF(DAY(C60)&lt;15,1.05,1.075),IF(MONTH(C60)=3,IF(DAY(C60)&lt;20,0.98,1.015),IF(MONTH(C60)=4,IF(DAY(C60)&lt;17,1.025,0.95),IF(MONTH(C60)=5,IF(DAY(C60)&lt;22,0.95,1.05),IF(MONTH(C60)=6,0.95,IF(MONTH(C60)=7,IF(DAY(C60)&lt;10,1.15,0.95),IF(MONTH(C60)=8,IF(DAY(C60)&lt;25,0.85,1.03),IF(MONTH(C60)=9,IF(DAY(C60)&lt;25,0.85,1.03),IF(MONTH(C60)=10,IF(DAY(C60)&lt;11,0.9,0.95),IF(MONTH(C60)=11,IF(DAY(C60)&lt;13,1.12,1.06),IF(MONTH(C60)=12,IF(DAY(C60)&lt;10,1.06,1.12),1))))))))))),0)</f>
        <v>402</v>
      </c>
    </row>
    <row r="61" customFormat="false" ht="15" hidden="false" customHeight="false" outlineLevel="0" collapsed="false">
      <c r="A61" s="0" t="n">
        <v>60</v>
      </c>
      <c r="B61" s="0" t="str">
        <f aca="false">B47</f>
        <v>SKU PROD C</v>
      </c>
      <c r="C61" s="2" t="n">
        <f aca="false">DATE(YEAR(C47),MONTH(C47)+1,DAY(C47))</f>
        <v>46147</v>
      </c>
      <c r="D61" s="0" t="n">
        <f aca="false">ROUNDUP(D47*IF(MONTH(C61)=2,IF(DAY(C61)&lt;15,1.05,1.075),IF(MONTH(C61)=3,IF(DAY(C61)&lt;20,0.98,1.015),IF(MONTH(C61)=4,IF(DAY(C61)&lt;17,1.025,0.95),IF(MONTH(C61)=5,IF(DAY(C61)&lt;22,0.95,1.05),IF(MONTH(C61)=6,0.95,IF(MONTH(C61)=7,IF(DAY(C61)&lt;10,1.15,0.95),IF(MONTH(C61)=8,IF(DAY(C61)&lt;25,0.85,1.03),IF(MONTH(C61)=9,IF(DAY(C61)&lt;25,0.85,1.03),IF(MONTH(C61)=10,IF(DAY(C61)&lt;11,0.9,0.95),IF(MONTH(C61)=11,IF(DAY(C61)&lt;13,1.12,1.06),IF(MONTH(C61)=12,IF(DAY(C61)&lt;10,1.06,1.12),1))))))))))),0)</f>
        <v>904</v>
      </c>
    </row>
    <row r="62" customFormat="false" ht="15" hidden="false" customHeight="false" outlineLevel="0" collapsed="false">
      <c r="A62" s="0" t="n">
        <v>61</v>
      </c>
      <c r="B62" s="0" t="str">
        <f aca="false">B48</f>
        <v>SKU PROD D</v>
      </c>
      <c r="C62" s="2" t="n">
        <f aca="false">DATE(YEAR(C48),MONTH(C48)+1,DAY(C48))</f>
        <v>46148</v>
      </c>
      <c r="D62" s="0" t="n">
        <f aca="false">ROUNDUP(D48*IF(MONTH(C62)=2,IF(DAY(C62)&lt;15,1.05,1.075),IF(MONTH(C62)=3,IF(DAY(C62)&lt;20,0.98,1.015),IF(MONTH(C62)=4,IF(DAY(C62)&lt;17,1.025,0.95),IF(MONTH(C62)=5,IF(DAY(C62)&lt;22,0.95,1.05),IF(MONTH(C62)=6,0.95,IF(MONTH(C62)=7,IF(DAY(C62)&lt;10,1.15,0.95),IF(MONTH(C62)=8,IF(DAY(C62)&lt;25,0.85,1.03),IF(MONTH(C62)=9,IF(DAY(C62)&lt;25,0.85,1.03),IF(MONTH(C62)=10,IF(DAY(C62)&lt;11,0.9,0.95),IF(MONTH(C62)=11,IF(DAY(C62)&lt;13,1.12,1.06),IF(MONTH(C62)=12,IF(DAY(C62)&lt;10,1.06,1.12),1))))))))))),0)</f>
        <v>603</v>
      </c>
    </row>
    <row r="63" customFormat="false" ht="15" hidden="false" customHeight="false" outlineLevel="0" collapsed="false">
      <c r="A63" s="0" t="n">
        <v>62</v>
      </c>
      <c r="B63" s="0" t="str">
        <f aca="false">B49</f>
        <v>SKU PROD A</v>
      </c>
      <c r="C63" s="2" t="n">
        <f aca="false">DATE(YEAR(C49),MONTH(C49)+1,DAY(C49))</f>
        <v>46149</v>
      </c>
      <c r="D63" s="0" t="n">
        <f aca="false">ROUNDUP(D49*IF(MONTH(C63)=2,IF(DAY(C63)&lt;15,1.05,1.075),IF(MONTH(C63)=3,IF(DAY(C63)&lt;20,0.98,1.015),IF(MONTH(C63)=4,IF(DAY(C63)&lt;17,1.025,0.95),IF(MONTH(C63)=5,IF(DAY(C63)&lt;22,0.95,1.05),IF(MONTH(C63)=6,0.95,IF(MONTH(C63)=7,IF(DAY(C63)&lt;10,1.15,0.95),IF(MONTH(C63)=8,IF(DAY(C63)&lt;25,0.85,1.03),IF(MONTH(C63)=9,IF(DAY(C63)&lt;25,0.85,1.03),IF(MONTH(C63)=10,IF(DAY(C63)&lt;11,0.9,0.95),IF(MONTH(C63)=11,IF(DAY(C63)&lt;13,1.12,1.06),IF(MONTH(C63)=12,IF(DAY(C63)&lt;10,1.06,1.12),1))))))))))),0)</f>
        <v>1003</v>
      </c>
    </row>
    <row r="64" customFormat="false" ht="15" hidden="false" customHeight="false" outlineLevel="0" collapsed="false">
      <c r="A64" s="0" t="n">
        <v>63</v>
      </c>
      <c r="B64" s="0" t="str">
        <f aca="false">B50</f>
        <v>SKU PROD C</v>
      </c>
      <c r="C64" s="2" t="n">
        <f aca="false">DATE(YEAR(C50),MONTH(C50)+1,DAY(C50))</f>
        <v>46151</v>
      </c>
      <c r="D64" s="0" t="n">
        <f aca="false">ROUNDUP(D50*IF(MONTH(C64)=2,IF(DAY(C64)&lt;15,1.05,1.075),IF(MONTH(C64)=3,IF(DAY(C64)&lt;20,0.98,1.015),IF(MONTH(C64)=4,IF(DAY(C64)&lt;17,1.025,0.95),IF(MONTH(C64)=5,IF(DAY(C64)&lt;22,0.95,1.05),IF(MONTH(C64)=6,0.95,IF(MONTH(C64)=7,IF(DAY(C64)&lt;10,1.15,0.95),IF(MONTH(C64)=8,IF(DAY(C64)&lt;25,0.85,1.03),IF(MONTH(C64)=9,IF(DAY(C64)&lt;25,0.85,1.03),IF(MONTH(C64)=10,IF(DAY(C64)&lt;11,0.9,0.95),IF(MONTH(C64)=11,IF(DAY(C64)&lt;13,1.12,1.06),IF(MONTH(C64)=12,IF(DAY(C64)&lt;10,1.06,1.12),1))))))))))),0)</f>
        <v>502</v>
      </c>
    </row>
    <row r="65" customFormat="false" ht="15" hidden="false" customHeight="false" outlineLevel="0" collapsed="false">
      <c r="A65" s="0" t="n">
        <v>64</v>
      </c>
      <c r="B65" s="0" t="str">
        <f aca="false">B51</f>
        <v>SKU PROD E</v>
      </c>
      <c r="C65" s="2" t="n">
        <f aca="false">DATE(YEAR(C51),MONTH(C51)+1,DAY(C51))</f>
        <v>46154</v>
      </c>
      <c r="D65" s="0" t="n">
        <f aca="false">ROUNDUP(D51*IF(MONTH(C65)=2,IF(DAY(C65)&lt;15,1.05,1.075),IF(MONTH(C65)=3,IF(DAY(C65)&lt;20,0.98,1.015),IF(MONTH(C65)=4,IF(DAY(C65)&lt;17,1.025,0.95),IF(MONTH(C65)=5,IF(DAY(C65)&lt;22,0.95,1.05),IF(MONTH(C65)=6,0.95,IF(MONTH(C65)=7,IF(DAY(C65)&lt;10,1.15,0.95),IF(MONTH(C65)=8,IF(DAY(C65)&lt;25,0.85,1.03),IF(MONTH(C65)=9,IF(DAY(C65)&lt;25,0.85,1.03),IF(MONTH(C65)=10,IF(DAY(C65)&lt;11,0.9,0.95),IF(MONTH(C65)=11,IF(DAY(C65)&lt;13,1.12,1.06),IF(MONTH(C65)=12,IF(DAY(C65)&lt;10,1.06,1.12),1))))))))))),0)</f>
        <v>402</v>
      </c>
    </row>
    <row r="66" customFormat="false" ht="15" hidden="false" customHeight="false" outlineLevel="0" collapsed="false">
      <c r="A66" s="0" t="n">
        <v>65</v>
      </c>
      <c r="B66" s="0" t="str">
        <f aca="false">B52</f>
        <v>SKU PROD B</v>
      </c>
      <c r="C66" s="2" t="n">
        <f aca="false">DATE(YEAR(C52),MONTH(C52)+1,DAY(C52))</f>
        <v>46155</v>
      </c>
      <c r="D66" s="0" t="n">
        <f aca="false">ROUNDUP(D52*IF(MONTH(C66)=2,IF(DAY(C66)&lt;15,1.05,1.075),IF(MONTH(C66)=3,IF(DAY(C66)&lt;20,0.98,1.015),IF(MONTH(C66)=4,IF(DAY(C66)&lt;17,1.025,0.95),IF(MONTH(C66)=5,IF(DAY(C66)&lt;22,0.95,1.05),IF(MONTH(C66)=6,0.95,IF(MONTH(C66)=7,IF(DAY(C66)&lt;10,1.15,0.95),IF(MONTH(C66)=8,IF(DAY(C66)&lt;25,0.85,1.03),IF(MONTH(C66)=9,IF(DAY(C66)&lt;25,0.85,1.03),IF(MONTH(C66)=10,IF(DAY(C66)&lt;11,0.9,0.95),IF(MONTH(C66)=11,IF(DAY(C66)&lt;13,1.12,1.06),IF(MONTH(C66)=12,IF(DAY(C66)&lt;10,1.06,1.12),1))))))))))),0)</f>
        <v>603</v>
      </c>
    </row>
    <row r="67" customFormat="false" ht="15" hidden="false" customHeight="false" outlineLevel="0" collapsed="false">
      <c r="A67" s="0" t="n">
        <v>66</v>
      </c>
      <c r="B67" s="0" t="str">
        <f aca="false">B53</f>
        <v>SKU PROD D</v>
      </c>
      <c r="C67" s="2" t="n">
        <f aca="false">DATE(YEAR(C53),MONTH(C53)+1,DAY(C53))</f>
        <v>46159</v>
      </c>
      <c r="D67" s="0" t="n">
        <f aca="false">ROUNDUP(D53*IF(MONTH(C67)=2,IF(DAY(C67)&lt;15,1.05,1.075),IF(MONTH(C67)=3,IF(DAY(C67)&lt;20,0.98,1.015),IF(MONTH(C67)=4,IF(DAY(C67)&lt;17,1.025,0.95),IF(MONTH(C67)=5,IF(DAY(C67)&lt;22,0.95,1.05),IF(MONTH(C67)=6,0.95,IF(MONTH(C67)=7,IF(DAY(C67)&lt;10,1.15,0.95),IF(MONTH(C67)=8,IF(DAY(C67)&lt;25,0.85,1.03),IF(MONTH(C67)=9,IF(DAY(C67)&lt;25,0.85,1.03),IF(MONTH(C67)=10,IF(DAY(C67)&lt;11,0.9,0.95),IF(MONTH(C67)=11,IF(DAY(C67)&lt;13,1.12,1.06),IF(MONTH(C67)=12,IF(DAY(C67)&lt;10,1.06,1.12),1))))))))))),0)</f>
        <v>857</v>
      </c>
    </row>
    <row r="68" customFormat="false" ht="15" hidden="false" customHeight="false" outlineLevel="0" collapsed="false">
      <c r="A68" s="0" t="n">
        <v>67</v>
      </c>
      <c r="B68" s="0" t="str">
        <f aca="false">B54</f>
        <v>SKU PROD C</v>
      </c>
      <c r="C68" s="2" t="n">
        <f aca="false">DATE(YEAR(C54),MONTH(C54)+1,DAY(C54))</f>
        <v>46162</v>
      </c>
      <c r="D68" s="0" t="n">
        <f aca="false">ROUNDUP(D54*IF(MONTH(C68)=2,IF(DAY(C68)&lt;15,1.05,1.075),IF(MONTH(C68)=3,IF(DAY(C68)&lt;20,0.98,1.015),IF(MONTH(C68)=4,IF(DAY(C68)&lt;17,1.025,0.95),IF(MONTH(C68)=5,IF(DAY(C68)&lt;22,0.95,1.05),IF(MONTH(C68)=6,0.95,IF(MONTH(C68)=7,IF(DAY(C68)&lt;10,1.15,0.95),IF(MONTH(C68)=8,IF(DAY(C68)&lt;25,0.85,1.03),IF(MONTH(C68)=9,IF(DAY(C68)&lt;25,0.85,1.03),IF(MONTH(C68)=10,IF(DAY(C68)&lt;11,0.9,0.95),IF(MONTH(C68)=11,IF(DAY(C68)&lt;13,1.12,1.06),IF(MONTH(C68)=12,IF(DAY(C68)&lt;10,1.06,1.12),1))))))))))),0)</f>
        <v>789</v>
      </c>
    </row>
    <row r="69" customFormat="false" ht="15" hidden="false" customHeight="false" outlineLevel="0" collapsed="false">
      <c r="A69" s="0" t="n">
        <v>68</v>
      </c>
      <c r="B69" s="0" t="str">
        <f aca="false">B55</f>
        <v>SKU PROD A</v>
      </c>
      <c r="C69" s="2" t="n">
        <f aca="false">DATE(YEAR(C55),MONTH(C55)+1,DAY(C55))</f>
        <v>46166</v>
      </c>
      <c r="D69" s="0" t="n">
        <f aca="false">ROUNDUP(D55*IF(MONTH(C69)=2,IF(DAY(C69)&lt;15,1.05,1.075),IF(MONTH(C69)=3,IF(DAY(C69)&lt;20,0.98,1.015),IF(MONTH(C69)=4,IF(DAY(C69)&lt;17,1.025,0.95),IF(MONTH(C69)=5,IF(DAY(C69)&lt;22,0.95,1.05),IF(MONTH(C69)=6,0.95,IF(MONTH(C69)=7,IF(DAY(C69)&lt;10,1.15,0.95),IF(MONTH(C69)=8,IF(DAY(C69)&lt;25,0.85,1.03),IF(MONTH(C69)=9,IF(DAY(C69)&lt;25,0.85,1.03),IF(MONTH(C69)=10,IF(DAY(C69)&lt;11,0.9,0.95),IF(MONTH(C69)=11,IF(DAY(C69)&lt;13,1.12,1.06),IF(MONTH(C69)=12,IF(DAY(C69)&lt;10,1.06,1.12),1))))))))))),0)</f>
        <v>1090</v>
      </c>
    </row>
    <row r="70" customFormat="false" ht="15" hidden="false" customHeight="false" outlineLevel="0" collapsed="false">
      <c r="A70" s="0" t="n">
        <v>69</v>
      </c>
      <c r="B70" s="0" t="str">
        <f aca="false">B56</f>
        <v>SKU PROD D</v>
      </c>
      <c r="C70" s="2" t="n">
        <f aca="false">DATE(YEAR(C56),MONTH(C56)+1,DAY(C56))</f>
        <v>46170</v>
      </c>
      <c r="D70" s="0" t="n">
        <f aca="false">ROUNDUP(D56*IF(MONTH(C70)=2,IF(DAY(C70)&lt;15,1.05,1.075),IF(MONTH(C70)=3,IF(DAY(C70)&lt;20,0.98,1.015),IF(MONTH(C70)=4,IF(DAY(C70)&lt;17,1.025,0.95),IF(MONTH(C70)=5,IF(DAY(C70)&lt;22,0.95,1.05),IF(MONTH(C70)=6,0.95,IF(MONTH(C70)=7,IF(DAY(C70)&lt;10,1.15,0.95),IF(MONTH(C70)=8,IF(DAY(C70)&lt;25,0.85,1.03),IF(MONTH(C70)=9,IF(DAY(C70)&lt;25,0.85,1.03),IF(MONTH(C70)=10,IF(DAY(C70)&lt;11,0.9,0.95),IF(MONTH(C70)=11,IF(DAY(C70)&lt;13,1.12,1.06),IF(MONTH(C70)=12,IF(DAY(C70)&lt;10,1.06,1.12),1))))))))))),0)</f>
        <v>3267</v>
      </c>
    </row>
    <row r="71" customFormat="false" ht="15" hidden="false" customHeight="false" outlineLevel="0" collapsed="false">
      <c r="A71" s="0" t="n">
        <v>70</v>
      </c>
      <c r="B71" s="0" t="str">
        <f aca="false">B57</f>
        <v>SKU PROD E</v>
      </c>
      <c r="C71" s="2" t="n">
        <f aca="false">DATE(YEAR(C57),MONTH(C57)+1,DAY(C57))</f>
        <v>46170</v>
      </c>
      <c r="D71" s="0" t="n">
        <f aca="false">ROUNDUP(D57*IF(MONTH(C71)=2,IF(DAY(C71)&lt;15,1.05,1.075),IF(MONTH(C71)=3,IF(DAY(C71)&lt;20,0.98,1.015),IF(MONTH(C71)=4,IF(DAY(C71)&lt;17,1.025,0.95),IF(MONTH(C71)=5,IF(DAY(C71)&lt;22,0.95,1.05),IF(MONTH(C71)=6,0.95,IF(MONTH(C71)=7,IF(DAY(C71)&lt;10,1.15,0.95),IF(MONTH(C71)=8,IF(DAY(C71)&lt;25,0.85,1.03),IF(MONTH(C71)=9,IF(DAY(C71)&lt;25,0.85,1.03),IF(MONTH(C71)=10,IF(DAY(C71)&lt;11,0.9,0.95),IF(MONTH(C71)=11,IF(DAY(C71)&lt;13,1.12,1.06),IF(MONTH(C71)=12,IF(DAY(C71)&lt;10,1.06,1.12),1))))))))))),0)</f>
        <v>2178</v>
      </c>
    </row>
    <row r="72" customFormat="false" ht="15" hidden="false" customHeight="false" outlineLevel="0" collapsed="false">
      <c r="A72" s="0" t="n">
        <v>71</v>
      </c>
      <c r="B72" s="0" t="str">
        <f aca="false">B58</f>
        <v>SKU PROD A</v>
      </c>
      <c r="C72" s="2" t="n">
        <f aca="false">DATE(YEAR(C58),MONTH(C58)+1,DAY(C58))</f>
        <v>46176</v>
      </c>
      <c r="D72" s="0" t="n">
        <f aca="false">ROUNDUP(D58*IF(MONTH(C72)=2,IF(DAY(C72)&lt;15,1.05,1.075),IF(MONTH(C72)=3,IF(DAY(C72)&lt;20,0.98,1.015),IF(MONTH(C72)=4,IF(DAY(C72)&lt;17,1.025,0.95),IF(MONTH(C72)=5,IF(DAY(C72)&lt;22,0.95,1.05),IF(MONTH(C72)=6,0.95,IF(MONTH(C72)=7,IF(DAY(C72)&lt;10,1.15,0.95),IF(MONTH(C72)=8,IF(DAY(C72)&lt;25,0.85,1.03),IF(MONTH(C72)=9,IF(DAY(C72)&lt;25,0.85,1.03),IF(MONTH(C72)=10,IF(DAY(C72)&lt;11,0.9,0.95),IF(MONTH(C72)=11,IF(DAY(C72)&lt;13,1.12,1.06),IF(MONTH(C72)=12,IF(DAY(C72)&lt;10,1.06,1.12),1))))))))))),0)</f>
        <v>953</v>
      </c>
    </row>
    <row r="73" customFormat="false" ht="15" hidden="false" customHeight="false" outlineLevel="0" collapsed="false">
      <c r="A73" s="0" t="n">
        <v>72</v>
      </c>
      <c r="B73" s="0" t="str">
        <f aca="false">B59</f>
        <v>SKU PROD B</v>
      </c>
      <c r="C73" s="2" t="n">
        <f aca="false">DATE(YEAR(C59),MONTH(C59)+1,DAY(C59))</f>
        <v>46176</v>
      </c>
      <c r="D73" s="0" t="n">
        <f aca="false">ROUNDUP(D59*IF(MONTH(C73)=2,IF(DAY(C73)&lt;15,1.05,1.075),IF(MONTH(C73)=3,IF(DAY(C73)&lt;20,0.98,1.015),IF(MONTH(C73)=4,IF(DAY(C73)&lt;17,1.025,0.95),IF(MONTH(C73)=5,IF(DAY(C73)&lt;22,0.95,1.05),IF(MONTH(C73)=6,0.95,IF(MONTH(C73)=7,IF(DAY(C73)&lt;10,1.15,0.95),IF(MONTH(C73)=8,IF(DAY(C73)&lt;25,0.85,1.03),IF(MONTH(C73)=9,IF(DAY(C73)&lt;25,0.85,1.03),IF(MONTH(C73)=10,IF(DAY(C73)&lt;11,0.9,0.95),IF(MONTH(C73)=11,IF(DAY(C73)&lt;13,1.12,1.06),IF(MONTH(C73)=12,IF(DAY(C73)&lt;10,1.06,1.12),1))))))))))),0)</f>
        <v>5713</v>
      </c>
    </row>
    <row r="74" customFormat="false" ht="15" hidden="false" customHeight="false" outlineLevel="0" collapsed="false">
      <c r="A74" s="0" t="n">
        <v>73</v>
      </c>
      <c r="B74" s="0" t="str">
        <f aca="false">B60</f>
        <v>SKU PROD A</v>
      </c>
      <c r="C74" s="2" t="n">
        <f aca="false">DATE(YEAR(C60),MONTH(C60)+1,DAY(C60))</f>
        <v>46177</v>
      </c>
      <c r="D74" s="0" t="n">
        <f aca="false">ROUNDUP(D60*IF(MONTH(C74)=2,IF(DAY(C74)&lt;15,1.05,1.075),IF(MONTH(C74)=3,IF(DAY(C74)&lt;20,0.98,1.015),IF(MONTH(C74)=4,IF(DAY(C74)&lt;17,1.025,0.95),IF(MONTH(C74)=5,IF(DAY(C74)&lt;22,0.95,1.05),IF(MONTH(C74)=6,0.95,IF(MONTH(C74)=7,IF(DAY(C74)&lt;10,1.15,0.95),IF(MONTH(C74)=8,IF(DAY(C74)&lt;25,0.85,1.03),IF(MONTH(C74)=9,IF(DAY(C74)&lt;25,0.85,1.03),IF(MONTH(C74)=10,IF(DAY(C74)&lt;11,0.9,0.95),IF(MONTH(C74)=11,IF(DAY(C74)&lt;13,1.12,1.06),IF(MONTH(C74)=12,IF(DAY(C74)&lt;10,1.06,1.12),1))))))))))),0)</f>
        <v>382</v>
      </c>
    </row>
    <row r="75" customFormat="false" ht="15" hidden="false" customHeight="false" outlineLevel="0" collapsed="false">
      <c r="A75" s="0" t="n">
        <v>74</v>
      </c>
      <c r="B75" s="0" t="str">
        <f aca="false">B61</f>
        <v>SKU PROD C</v>
      </c>
      <c r="C75" s="2" t="n">
        <f aca="false">DATE(YEAR(C61),MONTH(C61)+1,DAY(C61))</f>
        <v>46178</v>
      </c>
      <c r="D75" s="0" t="n">
        <f aca="false">ROUNDUP(D61*IF(MONTH(C75)=2,IF(DAY(C75)&lt;15,1.05,1.075),IF(MONTH(C75)=3,IF(DAY(C75)&lt;20,0.98,1.015),IF(MONTH(C75)=4,IF(DAY(C75)&lt;17,1.025,0.95),IF(MONTH(C75)=5,IF(DAY(C75)&lt;22,0.95,1.05),IF(MONTH(C75)=6,0.95,IF(MONTH(C75)=7,IF(DAY(C75)&lt;10,1.15,0.95),IF(MONTH(C75)=8,IF(DAY(C75)&lt;25,0.85,1.03),IF(MONTH(C75)=9,IF(DAY(C75)&lt;25,0.85,1.03),IF(MONTH(C75)=10,IF(DAY(C75)&lt;11,0.9,0.95),IF(MONTH(C75)=11,IF(DAY(C75)&lt;13,1.12,1.06),IF(MONTH(C75)=12,IF(DAY(C75)&lt;10,1.06,1.12),1))))))))))),0)</f>
        <v>859</v>
      </c>
    </row>
    <row r="76" customFormat="false" ht="15" hidden="false" customHeight="false" outlineLevel="0" collapsed="false">
      <c r="A76" s="0" t="n">
        <v>75</v>
      </c>
      <c r="B76" s="0" t="str">
        <f aca="false">B62</f>
        <v>SKU PROD D</v>
      </c>
      <c r="C76" s="2" t="n">
        <f aca="false">DATE(YEAR(C62),MONTH(C62)+1,DAY(C62))</f>
        <v>46179</v>
      </c>
      <c r="D76" s="0" t="n">
        <f aca="false">ROUNDUP(D62*IF(MONTH(C76)=2,IF(DAY(C76)&lt;15,1.05,1.075),IF(MONTH(C76)=3,IF(DAY(C76)&lt;20,0.98,1.015),IF(MONTH(C76)=4,IF(DAY(C76)&lt;17,1.025,0.95),IF(MONTH(C76)=5,IF(DAY(C76)&lt;22,0.95,1.05),IF(MONTH(C76)=6,0.95,IF(MONTH(C76)=7,IF(DAY(C76)&lt;10,1.15,0.95),IF(MONTH(C76)=8,IF(DAY(C76)&lt;25,0.85,1.03),IF(MONTH(C76)=9,IF(DAY(C76)&lt;25,0.85,1.03),IF(MONTH(C76)=10,IF(DAY(C76)&lt;11,0.9,0.95),IF(MONTH(C76)=11,IF(DAY(C76)&lt;13,1.12,1.06),IF(MONTH(C76)=12,IF(DAY(C76)&lt;10,1.06,1.12),1))))))))))),0)</f>
        <v>573</v>
      </c>
    </row>
    <row r="77" customFormat="false" ht="15" hidden="false" customHeight="false" outlineLevel="0" collapsed="false">
      <c r="A77" s="0" t="n">
        <v>76</v>
      </c>
      <c r="B77" s="0" t="str">
        <f aca="false">B63</f>
        <v>SKU PROD A</v>
      </c>
      <c r="C77" s="2" t="n">
        <f aca="false">DATE(YEAR(C63),MONTH(C63)+1,DAY(C63))</f>
        <v>46180</v>
      </c>
      <c r="D77" s="0" t="n">
        <f aca="false">ROUNDUP(D63*IF(MONTH(C77)=2,IF(DAY(C77)&lt;15,1.05,1.075),IF(MONTH(C77)=3,IF(DAY(C77)&lt;20,0.98,1.015),IF(MONTH(C77)=4,IF(DAY(C77)&lt;17,1.025,0.95),IF(MONTH(C77)=5,IF(DAY(C77)&lt;22,0.95,1.05),IF(MONTH(C77)=6,0.95,IF(MONTH(C77)=7,IF(DAY(C77)&lt;10,1.15,0.95),IF(MONTH(C77)=8,IF(DAY(C77)&lt;25,0.85,1.03),IF(MONTH(C77)=9,IF(DAY(C77)&lt;25,0.85,1.03),IF(MONTH(C77)=10,IF(DAY(C77)&lt;11,0.9,0.95),IF(MONTH(C77)=11,IF(DAY(C77)&lt;13,1.12,1.06),IF(MONTH(C77)=12,IF(DAY(C77)&lt;10,1.06,1.12),1))))))))))),0)</f>
        <v>953</v>
      </c>
    </row>
    <row r="78" customFormat="false" ht="15" hidden="false" customHeight="false" outlineLevel="0" collapsed="false">
      <c r="A78" s="0" t="n">
        <v>77</v>
      </c>
      <c r="B78" s="0" t="str">
        <f aca="false">B64</f>
        <v>SKU PROD C</v>
      </c>
      <c r="C78" s="2" t="n">
        <f aca="false">DATE(YEAR(C64),MONTH(C64)+1,DAY(C64))</f>
        <v>46182</v>
      </c>
      <c r="D78" s="0" t="n">
        <f aca="false">ROUNDUP(D64*IF(MONTH(C78)=2,IF(DAY(C78)&lt;15,1.05,1.075),IF(MONTH(C78)=3,IF(DAY(C78)&lt;20,0.98,1.015),IF(MONTH(C78)=4,IF(DAY(C78)&lt;17,1.025,0.95),IF(MONTH(C78)=5,IF(DAY(C78)&lt;22,0.95,1.05),IF(MONTH(C78)=6,0.95,IF(MONTH(C78)=7,IF(DAY(C78)&lt;10,1.15,0.95),IF(MONTH(C78)=8,IF(DAY(C78)&lt;25,0.85,1.03),IF(MONTH(C78)=9,IF(DAY(C78)&lt;25,0.85,1.03),IF(MONTH(C78)=10,IF(DAY(C78)&lt;11,0.9,0.95),IF(MONTH(C78)=11,IF(DAY(C78)&lt;13,1.12,1.06),IF(MONTH(C78)=12,IF(DAY(C78)&lt;10,1.06,1.12),1))))))))))),0)</f>
        <v>477</v>
      </c>
    </row>
    <row r="79" customFormat="false" ht="15" hidden="false" customHeight="false" outlineLevel="0" collapsed="false">
      <c r="A79" s="0" t="n">
        <v>78</v>
      </c>
      <c r="B79" s="0" t="str">
        <f aca="false">B65</f>
        <v>SKU PROD E</v>
      </c>
      <c r="C79" s="2" t="n">
        <f aca="false">DATE(YEAR(C65),MONTH(C65)+1,DAY(C65))</f>
        <v>46185</v>
      </c>
      <c r="D79" s="0" t="n">
        <f aca="false">ROUNDUP(D65*IF(MONTH(C79)=2,IF(DAY(C79)&lt;15,1.05,1.075),IF(MONTH(C79)=3,IF(DAY(C79)&lt;20,0.98,1.015),IF(MONTH(C79)=4,IF(DAY(C79)&lt;17,1.025,0.95),IF(MONTH(C79)=5,IF(DAY(C79)&lt;22,0.95,1.05),IF(MONTH(C79)=6,0.95,IF(MONTH(C79)=7,IF(DAY(C79)&lt;10,1.15,0.95),IF(MONTH(C79)=8,IF(DAY(C79)&lt;25,0.85,1.03),IF(MONTH(C79)=9,IF(DAY(C79)&lt;25,0.85,1.03),IF(MONTH(C79)=10,IF(DAY(C79)&lt;11,0.9,0.95),IF(MONTH(C79)=11,IF(DAY(C79)&lt;13,1.12,1.06),IF(MONTH(C79)=12,IF(DAY(C79)&lt;10,1.06,1.12),1))))))))))),0)</f>
        <v>382</v>
      </c>
    </row>
    <row r="80" customFormat="false" ht="15" hidden="false" customHeight="false" outlineLevel="0" collapsed="false">
      <c r="A80" s="0" t="n">
        <v>79</v>
      </c>
      <c r="B80" s="0" t="str">
        <f aca="false">B66</f>
        <v>SKU PROD B</v>
      </c>
      <c r="C80" s="2" t="n">
        <f aca="false">DATE(YEAR(C66),MONTH(C66)+1,DAY(C66))</f>
        <v>46186</v>
      </c>
      <c r="D80" s="0" t="n">
        <f aca="false">ROUNDUP(D66*IF(MONTH(C80)=2,IF(DAY(C80)&lt;15,1.05,1.075),IF(MONTH(C80)=3,IF(DAY(C80)&lt;20,0.98,1.015),IF(MONTH(C80)=4,IF(DAY(C80)&lt;17,1.025,0.95),IF(MONTH(C80)=5,IF(DAY(C80)&lt;22,0.95,1.05),IF(MONTH(C80)=6,0.95,IF(MONTH(C80)=7,IF(DAY(C80)&lt;10,1.15,0.95),IF(MONTH(C80)=8,IF(DAY(C80)&lt;25,0.85,1.03),IF(MONTH(C80)=9,IF(DAY(C80)&lt;25,0.85,1.03),IF(MONTH(C80)=10,IF(DAY(C80)&lt;11,0.9,0.95),IF(MONTH(C80)=11,IF(DAY(C80)&lt;13,1.12,1.06),IF(MONTH(C80)=12,IF(DAY(C80)&lt;10,1.06,1.12),1))))))))))),0)</f>
        <v>573</v>
      </c>
    </row>
    <row r="81" customFormat="false" ht="15" hidden="false" customHeight="false" outlineLevel="0" collapsed="false">
      <c r="A81" s="0" t="n">
        <v>80</v>
      </c>
      <c r="B81" s="0" t="str">
        <f aca="false">B67</f>
        <v>SKU PROD D</v>
      </c>
      <c r="C81" s="2" t="n">
        <f aca="false">DATE(YEAR(C67),MONTH(C67)+1,DAY(C67))</f>
        <v>46190</v>
      </c>
      <c r="D81" s="0" t="n">
        <f aca="false">ROUNDUP(D67*IF(MONTH(C81)=2,IF(DAY(C81)&lt;15,1.05,1.075),IF(MONTH(C81)=3,IF(DAY(C81)&lt;20,0.98,1.015),IF(MONTH(C81)=4,IF(DAY(C81)&lt;17,1.025,0.95),IF(MONTH(C81)=5,IF(DAY(C81)&lt;22,0.95,1.05),IF(MONTH(C81)=6,0.95,IF(MONTH(C81)=7,IF(DAY(C81)&lt;10,1.15,0.95),IF(MONTH(C81)=8,IF(DAY(C81)&lt;25,0.85,1.03),IF(MONTH(C81)=9,IF(DAY(C81)&lt;25,0.85,1.03),IF(MONTH(C81)=10,IF(DAY(C81)&lt;11,0.9,0.95),IF(MONTH(C81)=11,IF(DAY(C81)&lt;13,1.12,1.06),IF(MONTH(C81)=12,IF(DAY(C81)&lt;10,1.06,1.12),1))))))))))),0)</f>
        <v>815</v>
      </c>
    </row>
    <row r="82" customFormat="false" ht="15" hidden="false" customHeight="false" outlineLevel="0" collapsed="false">
      <c r="A82" s="0" t="n">
        <v>81</v>
      </c>
      <c r="B82" s="0" t="str">
        <f aca="false">B68</f>
        <v>SKU PROD C</v>
      </c>
      <c r="C82" s="2" t="n">
        <f aca="false">DATE(YEAR(C68),MONTH(C68)+1,DAY(C68))</f>
        <v>46193</v>
      </c>
      <c r="D82" s="0" t="n">
        <f aca="false">ROUNDUP(D68*IF(MONTH(C82)=2,IF(DAY(C82)&lt;15,1.05,1.075),IF(MONTH(C82)=3,IF(DAY(C82)&lt;20,0.98,1.015),IF(MONTH(C82)=4,IF(DAY(C82)&lt;17,1.025,0.95),IF(MONTH(C82)=5,IF(DAY(C82)&lt;22,0.95,1.05),IF(MONTH(C82)=6,0.95,IF(MONTH(C82)=7,IF(DAY(C82)&lt;10,1.15,0.95),IF(MONTH(C82)=8,IF(DAY(C82)&lt;25,0.85,1.03),IF(MONTH(C82)=9,IF(DAY(C82)&lt;25,0.85,1.03),IF(MONTH(C82)=10,IF(DAY(C82)&lt;11,0.9,0.95),IF(MONTH(C82)=11,IF(DAY(C82)&lt;13,1.12,1.06),IF(MONTH(C82)=12,IF(DAY(C82)&lt;10,1.06,1.12),1))))))))))),0)</f>
        <v>750</v>
      </c>
    </row>
    <row r="83" customFormat="false" ht="15" hidden="false" customHeight="false" outlineLevel="0" collapsed="false">
      <c r="A83" s="0" t="n">
        <v>82</v>
      </c>
      <c r="B83" s="0" t="str">
        <f aca="false">B69</f>
        <v>SKU PROD A</v>
      </c>
      <c r="C83" s="2" t="n">
        <f aca="false">DATE(YEAR(C69),MONTH(C69)+1,DAY(C69))</f>
        <v>46197</v>
      </c>
      <c r="D83" s="0" t="n">
        <f aca="false">ROUNDUP(D69*IF(MONTH(C83)=2,IF(DAY(C83)&lt;15,1.05,1.075),IF(MONTH(C83)=3,IF(DAY(C83)&lt;20,0.98,1.015),IF(MONTH(C83)=4,IF(DAY(C83)&lt;17,1.025,0.95),IF(MONTH(C83)=5,IF(DAY(C83)&lt;22,0.95,1.05),IF(MONTH(C83)=6,0.95,IF(MONTH(C83)=7,IF(DAY(C83)&lt;10,1.15,0.95),IF(MONTH(C83)=8,IF(DAY(C83)&lt;25,0.85,1.03),IF(MONTH(C83)=9,IF(DAY(C83)&lt;25,0.85,1.03),IF(MONTH(C83)=10,IF(DAY(C83)&lt;11,0.9,0.95),IF(MONTH(C83)=11,IF(DAY(C83)&lt;13,1.12,1.06),IF(MONTH(C83)=12,IF(DAY(C83)&lt;10,1.06,1.12),1))))))))))),0)</f>
        <v>1036</v>
      </c>
    </row>
    <row r="84" customFormat="false" ht="15" hidden="false" customHeight="false" outlineLevel="0" collapsed="false">
      <c r="A84" s="0" t="n">
        <v>83</v>
      </c>
      <c r="B84" s="0" t="str">
        <f aca="false">B70</f>
        <v>SKU PROD D</v>
      </c>
      <c r="C84" s="2" t="n">
        <f aca="false">DATE(YEAR(C70),MONTH(C70)+1,DAY(C70))</f>
        <v>46201</v>
      </c>
      <c r="D84" s="0" t="n">
        <f aca="false">ROUNDUP(D70*IF(MONTH(C84)=2,IF(DAY(C84)&lt;15,1.05,1.075),IF(MONTH(C84)=3,IF(DAY(C84)&lt;20,0.98,1.015),IF(MONTH(C84)=4,IF(DAY(C84)&lt;17,1.025,0.95),IF(MONTH(C84)=5,IF(DAY(C84)&lt;22,0.95,1.05),IF(MONTH(C84)=6,0.95,IF(MONTH(C84)=7,IF(DAY(C84)&lt;10,1.15,0.95),IF(MONTH(C84)=8,IF(DAY(C84)&lt;25,0.85,1.03),IF(MONTH(C84)=9,IF(DAY(C84)&lt;25,0.85,1.03),IF(MONTH(C84)=10,IF(DAY(C84)&lt;11,0.9,0.95),IF(MONTH(C84)=11,IF(DAY(C84)&lt;13,1.12,1.06),IF(MONTH(C84)=12,IF(DAY(C84)&lt;10,1.06,1.12),1))))))))))),0)</f>
        <v>3104</v>
      </c>
    </row>
    <row r="85" customFormat="false" ht="15" hidden="false" customHeight="false" outlineLevel="0" collapsed="false">
      <c r="A85" s="0" t="n">
        <v>84</v>
      </c>
      <c r="B85" s="0" t="str">
        <f aca="false">B71</f>
        <v>SKU PROD E</v>
      </c>
      <c r="C85" s="2" t="n">
        <f aca="false">DATE(YEAR(C71),MONTH(C71)+1,DAY(C71))</f>
        <v>46201</v>
      </c>
      <c r="D85" s="0" t="n">
        <f aca="false">ROUNDUP(D71*IF(MONTH(C85)=2,IF(DAY(C85)&lt;15,1.05,1.075),IF(MONTH(C85)=3,IF(DAY(C85)&lt;20,0.98,1.015),IF(MONTH(C85)=4,IF(DAY(C85)&lt;17,1.025,0.95),IF(MONTH(C85)=5,IF(DAY(C85)&lt;22,0.95,1.05),IF(MONTH(C85)=6,0.95,IF(MONTH(C85)=7,IF(DAY(C85)&lt;10,1.15,0.95),IF(MONTH(C85)=8,IF(DAY(C85)&lt;25,0.85,1.03),IF(MONTH(C85)=9,IF(DAY(C85)&lt;25,0.85,1.03),IF(MONTH(C85)=10,IF(DAY(C85)&lt;11,0.9,0.95),IF(MONTH(C85)=11,IF(DAY(C85)&lt;13,1.12,1.06),IF(MONTH(C85)=12,IF(DAY(C85)&lt;10,1.06,1.12),1))))))))))),0)</f>
        <v>2070</v>
      </c>
    </row>
    <row r="86" customFormat="false" ht="15" hidden="false" customHeight="false" outlineLevel="0" collapsed="false">
      <c r="A86" s="0" t="n">
        <v>85</v>
      </c>
      <c r="B86" s="0" t="str">
        <f aca="false">B72</f>
        <v>SKU PROD A</v>
      </c>
      <c r="C86" s="2" t="n">
        <f aca="false">DATE(YEAR(C72),MONTH(C72)+1,DAY(C72))</f>
        <v>46206</v>
      </c>
      <c r="D86" s="0" t="n">
        <f aca="false">ROUNDUP(D72*IF(MONTH(C86)=2,IF(DAY(C86)&lt;15,1.05,1.075),IF(MONTH(C86)=3,IF(DAY(C86)&lt;20,0.98,1.015),IF(MONTH(C86)=4,IF(DAY(C86)&lt;17,1.025,0.95),IF(MONTH(C86)=5,IF(DAY(C86)&lt;22,0.95,1.05),IF(MONTH(C86)=6,0.95,IF(MONTH(C86)=7,IF(DAY(C86)&lt;10,1.15,0.95),IF(MONTH(C86)=8,IF(DAY(C86)&lt;25,0.85,1.03),IF(MONTH(C86)=9,IF(DAY(C86)&lt;25,0.85,1.03),IF(MONTH(C86)=10,IF(DAY(C86)&lt;11,0.9,0.95),IF(MONTH(C86)=11,IF(DAY(C86)&lt;13,1.12,1.06),IF(MONTH(C86)=12,IF(DAY(C86)&lt;10,1.06,1.12),1))))))))))),0)</f>
        <v>1096</v>
      </c>
    </row>
    <row r="87" customFormat="false" ht="15" hidden="false" customHeight="false" outlineLevel="0" collapsed="false">
      <c r="A87" s="0" t="n">
        <v>86</v>
      </c>
      <c r="B87" s="0" t="str">
        <f aca="false">B73</f>
        <v>SKU PROD B</v>
      </c>
      <c r="C87" s="2" t="n">
        <f aca="false">DATE(YEAR(C73),MONTH(C73)+1,DAY(C73))</f>
        <v>46206</v>
      </c>
      <c r="D87" s="0" t="n">
        <f aca="false">ROUNDUP(D73*IF(MONTH(C87)=2,IF(DAY(C87)&lt;15,1.05,1.075),IF(MONTH(C87)=3,IF(DAY(C87)&lt;20,0.98,1.015),IF(MONTH(C87)=4,IF(DAY(C87)&lt;17,1.025,0.95),IF(MONTH(C87)=5,IF(DAY(C87)&lt;22,0.95,1.05),IF(MONTH(C87)=6,0.95,IF(MONTH(C87)=7,IF(DAY(C87)&lt;10,1.15,0.95),IF(MONTH(C87)=8,IF(DAY(C87)&lt;25,0.85,1.03),IF(MONTH(C87)=9,IF(DAY(C87)&lt;25,0.85,1.03),IF(MONTH(C87)=10,IF(DAY(C87)&lt;11,0.9,0.95),IF(MONTH(C87)=11,IF(DAY(C87)&lt;13,1.12,1.06),IF(MONTH(C87)=12,IF(DAY(C87)&lt;10,1.06,1.12),1))))))))))),0)</f>
        <v>6570</v>
      </c>
    </row>
    <row r="88" customFormat="false" ht="15" hidden="false" customHeight="false" outlineLevel="0" collapsed="false">
      <c r="A88" s="0" t="n">
        <v>87</v>
      </c>
      <c r="B88" s="0" t="str">
        <f aca="false">B74</f>
        <v>SKU PROD A</v>
      </c>
      <c r="C88" s="2" t="n">
        <f aca="false">DATE(YEAR(C74),MONTH(C74)+1,DAY(C74))</f>
        <v>46207</v>
      </c>
      <c r="D88" s="0" t="n">
        <f aca="false">ROUNDUP(D74*IF(MONTH(C88)=2,IF(DAY(C88)&lt;15,1.05,1.075),IF(MONTH(C88)=3,IF(DAY(C88)&lt;20,0.98,1.015),IF(MONTH(C88)=4,IF(DAY(C88)&lt;17,1.025,0.95),IF(MONTH(C88)=5,IF(DAY(C88)&lt;22,0.95,1.05),IF(MONTH(C88)=6,0.95,IF(MONTH(C88)=7,IF(DAY(C88)&lt;10,1.15,0.95),IF(MONTH(C88)=8,IF(DAY(C88)&lt;25,0.85,1.03),IF(MONTH(C88)=9,IF(DAY(C88)&lt;25,0.85,1.03),IF(MONTH(C88)=10,IF(DAY(C88)&lt;11,0.9,0.95),IF(MONTH(C88)=11,IF(DAY(C88)&lt;13,1.12,1.06),IF(MONTH(C88)=12,IF(DAY(C88)&lt;10,1.06,1.12),1))))))))))),0)</f>
        <v>440</v>
      </c>
    </row>
    <row r="89" customFormat="false" ht="15" hidden="false" customHeight="false" outlineLevel="0" collapsed="false">
      <c r="A89" s="0" t="n">
        <v>88</v>
      </c>
      <c r="B89" s="0" t="str">
        <f aca="false">B75</f>
        <v>SKU PROD C</v>
      </c>
      <c r="C89" s="2" t="n">
        <f aca="false">DATE(YEAR(C75),MONTH(C75)+1,DAY(C75))</f>
        <v>46208</v>
      </c>
      <c r="D89" s="0" t="n">
        <f aca="false">ROUNDUP(D75*IF(MONTH(C89)=2,IF(DAY(C89)&lt;15,1.05,1.075),IF(MONTH(C89)=3,IF(DAY(C89)&lt;20,0.98,1.015),IF(MONTH(C89)=4,IF(DAY(C89)&lt;17,1.025,0.95),IF(MONTH(C89)=5,IF(DAY(C89)&lt;22,0.95,1.05),IF(MONTH(C89)=6,0.95,IF(MONTH(C89)=7,IF(DAY(C89)&lt;10,1.15,0.95),IF(MONTH(C89)=8,IF(DAY(C89)&lt;25,0.85,1.03),IF(MONTH(C89)=9,IF(DAY(C89)&lt;25,0.85,1.03),IF(MONTH(C89)=10,IF(DAY(C89)&lt;11,0.9,0.95),IF(MONTH(C89)=11,IF(DAY(C89)&lt;13,1.12,1.06),IF(MONTH(C89)=12,IF(DAY(C89)&lt;10,1.06,1.12),1))))))))))),0)</f>
        <v>988</v>
      </c>
    </row>
    <row r="90" customFormat="false" ht="15" hidden="false" customHeight="false" outlineLevel="0" collapsed="false">
      <c r="A90" s="0" t="n">
        <v>89</v>
      </c>
      <c r="B90" s="0" t="str">
        <f aca="false">B76</f>
        <v>SKU PROD D</v>
      </c>
      <c r="C90" s="2" t="n">
        <f aca="false">DATE(YEAR(C76),MONTH(C76)+1,DAY(C76))</f>
        <v>46209</v>
      </c>
      <c r="D90" s="0" t="n">
        <f aca="false">ROUNDUP(D76*IF(MONTH(C90)=2,IF(DAY(C90)&lt;15,1.05,1.075),IF(MONTH(C90)=3,IF(DAY(C90)&lt;20,0.98,1.015),IF(MONTH(C90)=4,IF(DAY(C90)&lt;17,1.025,0.95),IF(MONTH(C90)=5,IF(DAY(C90)&lt;22,0.95,1.05),IF(MONTH(C90)=6,0.95,IF(MONTH(C90)=7,IF(DAY(C90)&lt;10,1.15,0.95),IF(MONTH(C90)=8,IF(DAY(C90)&lt;25,0.85,1.03),IF(MONTH(C90)=9,IF(DAY(C90)&lt;25,0.85,1.03),IF(MONTH(C90)=10,IF(DAY(C90)&lt;11,0.9,0.95),IF(MONTH(C90)=11,IF(DAY(C90)&lt;13,1.12,1.06),IF(MONTH(C90)=12,IF(DAY(C90)&lt;10,1.06,1.12),1))))))))))),0)</f>
        <v>659</v>
      </c>
    </row>
    <row r="91" customFormat="false" ht="15" hidden="false" customHeight="false" outlineLevel="0" collapsed="false">
      <c r="A91" s="0" t="n">
        <v>90</v>
      </c>
      <c r="B91" s="0" t="str">
        <f aca="false">B77</f>
        <v>SKU PROD A</v>
      </c>
      <c r="C91" s="2" t="n">
        <f aca="false">DATE(YEAR(C77),MONTH(C77)+1,DAY(C77))</f>
        <v>46210</v>
      </c>
      <c r="D91" s="0" t="n">
        <f aca="false">ROUNDUP(D77*IF(MONTH(C91)=2,IF(DAY(C91)&lt;15,1.05,1.075),IF(MONTH(C91)=3,IF(DAY(C91)&lt;20,0.98,1.015),IF(MONTH(C91)=4,IF(DAY(C91)&lt;17,1.025,0.95),IF(MONTH(C91)=5,IF(DAY(C91)&lt;22,0.95,1.05),IF(MONTH(C91)=6,0.95,IF(MONTH(C91)=7,IF(DAY(C91)&lt;10,1.15,0.95),IF(MONTH(C91)=8,IF(DAY(C91)&lt;25,0.85,1.03),IF(MONTH(C91)=9,IF(DAY(C91)&lt;25,0.85,1.03),IF(MONTH(C91)=10,IF(DAY(C91)&lt;11,0.9,0.95),IF(MONTH(C91)=11,IF(DAY(C91)&lt;13,1.12,1.06),IF(MONTH(C91)=12,IF(DAY(C91)&lt;10,1.06,1.12),1))))))))))),0)</f>
        <v>1096</v>
      </c>
    </row>
    <row r="92" customFormat="false" ht="15" hidden="false" customHeight="false" outlineLevel="0" collapsed="false">
      <c r="A92" s="0" t="n">
        <v>91</v>
      </c>
      <c r="B92" s="0" t="str">
        <f aca="false">B78</f>
        <v>SKU PROD C</v>
      </c>
      <c r="C92" s="2" t="n">
        <f aca="false">DATE(YEAR(C78),MONTH(C78)+1,DAY(C78))</f>
        <v>46212</v>
      </c>
      <c r="D92" s="0" t="n">
        <f aca="false">ROUNDUP(D78*IF(MONTH(C92)=2,IF(DAY(C92)&lt;15,1.05,1.075),IF(MONTH(C92)=3,IF(DAY(C92)&lt;20,0.98,1.015),IF(MONTH(C92)=4,IF(DAY(C92)&lt;17,1.025,0.95),IF(MONTH(C92)=5,IF(DAY(C92)&lt;22,0.95,1.05),IF(MONTH(C92)=6,0.95,IF(MONTH(C92)=7,IF(DAY(C92)&lt;10,1.15,0.95),IF(MONTH(C92)=8,IF(DAY(C92)&lt;25,0.85,1.03),IF(MONTH(C92)=9,IF(DAY(C92)&lt;25,0.85,1.03),IF(MONTH(C92)=10,IF(DAY(C92)&lt;11,0.9,0.95),IF(MONTH(C92)=11,IF(DAY(C92)&lt;13,1.12,1.06),IF(MONTH(C92)=12,IF(DAY(C92)&lt;10,1.06,1.12),1))))))))))),0)</f>
        <v>549</v>
      </c>
    </row>
    <row r="93" customFormat="false" ht="15" hidden="false" customHeight="false" outlineLevel="0" collapsed="false">
      <c r="A93" s="0" t="n">
        <v>92</v>
      </c>
      <c r="B93" s="0" t="str">
        <f aca="false">B79</f>
        <v>SKU PROD E</v>
      </c>
      <c r="C93" s="2" t="n">
        <f aca="false">DATE(YEAR(C79),MONTH(C79)+1,DAY(C79))</f>
        <v>46215</v>
      </c>
      <c r="D93" s="0" t="n">
        <f aca="false">ROUNDUP(D79*IF(MONTH(C93)=2,IF(DAY(C93)&lt;15,1.05,1.075),IF(MONTH(C93)=3,IF(DAY(C93)&lt;20,0.98,1.015),IF(MONTH(C93)=4,IF(DAY(C93)&lt;17,1.025,0.95),IF(MONTH(C93)=5,IF(DAY(C93)&lt;22,0.95,1.05),IF(MONTH(C93)=6,0.95,IF(MONTH(C93)=7,IF(DAY(C93)&lt;10,1.15,0.95),IF(MONTH(C93)=8,IF(DAY(C93)&lt;25,0.85,1.03),IF(MONTH(C93)=9,IF(DAY(C93)&lt;25,0.85,1.03),IF(MONTH(C93)=10,IF(DAY(C93)&lt;11,0.9,0.95),IF(MONTH(C93)=11,IF(DAY(C93)&lt;13,1.12,1.06),IF(MONTH(C93)=12,IF(DAY(C93)&lt;10,1.06,1.12),1))))))))))),0)</f>
        <v>363</v>
      </c>
    </row>
    <row r="94" customFormat="false" ht="15" hidden="false" customHeight="false" outlineLevel="0" collapsed="false">
      <c r="A94" s="0" t="n">
        <v>93</v>
      </c>
      <c r="B94" s="0" t="str">
        <f aca="false">B80</f>
        <v>SKU PROD B</v>
      </c>
      <c r="C94" s="2" t="n">
        <f aca="false">DATE(YEAR(C80),MONTH(C80)+1,DAY(C80))</f>
        <v>46216</v>
      </c>
      <c r="D94" s="0" t="n">
        <f aca="false">ROUNDUP(D80*IF(MONTH(C94)=2,IF(DAY(C94)&lt;15,1.05,1.075),IF(MONTH(C94)=3,IF(DAY(C94)&lt;20,0.98,1.015),IF(MONTH(C94)=4,IF(DAY(C94)&lt;17,1.025,0.95),IF(MONTH(C94)=5,IF(DAY(C94)&lt;22,0.95,1.05),IF(MONTH(C94)=6,0.95,IF(MONTH(C94)=7,IF(DAY(C94)&lt;10,1.15,0.95),IF(MONTH(C94)=8,IF(DAY(C94)&lt;25,0.85,1.03),IF(MONTH(C94)=9,IF(DAY(C94)&lt;25,0.85,1.03),IF(MONTH(C94)=10,IF(DAY(C94)&lt;11,0.9,0.95),IF(MONTH(C94)=11,IF(DAY(C94)&lt;13,1.12,1.06),IF(MONTH(C94)=12,IF(DAY(C94)&lt;10,1.06,1.12),1))))))))))),0)</f>
        <v>545</v>
      </c>
    </row>
    <row r="95" customFormat="false" ht="15" hidden="false" customHeight="false" outlineLevel="0" collapsed="false">
      <c r="A95" s="0" t="n">
        <v>94</v>
      </c>
      <c r="B95" s="0" t="str">
        <f aca="false">B81</f>
        <v>SKU PROD D</v>
      </c>
      <c r="C95" s="2" t="n">
        <f aca="false">DATE(YEAR(C81),MONTH(C81)+1,DAY(C81))</f>
        <v>46220</v>
      </c>
      <c r="D95" s="0" t="n">
        <f aca="false">ROUNDUP(D81*IF(MONTH(C95)=2,IF(DAY(C95)&lt;15,1.05,1.075),IF(MONTH(C95)=3,IF(DAY(C95)&lt;20,0.98,1.015),IF(MONTH(C95)=4,IF(DAY(C95)&lt;17,1.025,0.95),IF(MONTH(C95)=5,IF(DAY(C95)&lt;22,0.95,1.05),IF(MONTH(C95)=6,0.95,IF(MONTH(C95)=7,IF(DAY(C95)&lt;10,1.15,0.95),IF(MONTH(C95)=8,IF(DAY(C95)&lt;25,0.85,1.03),IF(MONTH(C95)=9,IF(DAY(C95)&lt;25,0.85,1.03),IF(MONTH(C95)=10,IF(DAY(C95)&lt;11,0.9,0.95),IF(MONTH(C95)=11,IF(DAY(C95)&lt;13,1.12,1.06),IF(MONTH(C95)=12,IF(DAY(C95)&lt;10,1.06,1.12),1))))))))))),0)</f>
        <v>775</v>
      </c>
    </row>
    <row r="96" customFormat="false" ht="15" hidden="false" customHeight="false" outlineLevel="0" collapsed="false">
      <c r="A96" s="0" t="n">
        <v>95</v>
      </c>
      <c r="B96" s="0" t="str">
        <f aca="false">B82</f>
        <v>SKU PROD C</v>
      </c>
      <c r="C96" s="2" t="n">
        <f aca="false">DATE(YEAR(C82),MONTH(C82)+1,DAY(C82))</f>
        <v>46223</v>
      </c>
      <c r="D96" s="0" t="n">
        <f aca="false">ROUNDUP(D82*IF(MONTH(C96)=2,IF(DAY(C96)&lt;15,1.05,1.075),IF(MONTH(C96)=3,IF(DAY(C96)&lt;20,0.98,1.015),IF(MONTH(C96)=4,IF(DAY(C96)&lt;17,1.025,0.95),IF(MONTH(C96)=5,IF(DAY(C96)&lt;22,0.95,1.05),IF(MONTH(C96)=6,0.95,IF(MONTH(C96)=7,IF(DAY(C96)&lt;10,1.15,0.95),IF(MONTH(C96)=8,IF(DAY(C96)&lt;25,0.85,1.03),IF(MONTH(C96)=9,IF(DAY(C96)&lt;25,0.85,1.03),IF(MONTH(C96)=10,IF(DAY(C96)&lt;11,0.9,0.95),IF(MONTH(C96)=11,IF(DAY(C96)&lt;13,1.12,1.06),IF(MONTH(C96)=12,IF(DAY(C96)&lt;10,1.06,1.12),1))))))))))),0)</f>
        <v>713</v>
      </c>
    </row>
    <row r="97" customFormat="false" ht="15" hidden="false" customHeight="false" outlineLevel="0" collapsed="false">
      <c r="A97" s="0" t="n">
        <v>96</v>
      </c>
      <c r="B97" s="0" t="str">
        <f aca="false">B83</f>
        <v>SKU PROD A</v>
      </c>
      <c r="C97" s="2" t="n">
        <f aca="false">DATE(YEAR(C83),MONTH(C83)+1,DAY(C83))</f>
        <v>46227</v>
      </c>
      <c r="D97" s="0" t="n">
        <f aca="false">ROUNDUP(D83*IF(MONTH(C97)=2,IF(DAY(C97)&lt;15,1.05,1.075),IF(MONTH(C97)=3,IF(DAY(C97)&lt;20,0.98,1.015),IF(MONTH(C97)=4,IF(DAY(C97)&lt;17,1.025,0.95),IF(MONTH(C97)=5,IF(DAY(C97)&lt;22,0.95,1.05),IF(MONTH(C97)=6,0.95,IF(MONTH(C97)=7,IF(DAY(C97)&lt;10,1.15,0.95),IF(MONTH(C97)=8,IF(DAY(C97)&lt;25,0.85,1.03),IF(MONTH(C97)=9,IF(DAY(C97)&lt;25,0.85,1.03),IF(MONTH(C97)=10,IF(DAY(C97)&lt;11,0.9,0.95),IF(MONTH(C97)=11,IF(DAY(C97)&lt;13,1.12,1.06),IF(MONTH(C97)=12,IF(DAY(C97)&lt;10,1.06,1.12),1))))))))))),0)</f>
        <v>985</v>
      </c>
    </row>
    <row r="98" customFormat="false" ht="15" hidden="false" customHeight="false" outlineLevel="0" collapsed="false">
      <c r="A98" s="0" t="n">
        <v>97</v>
      </c>
      <c r="B98" s="0" t="str">
        <f aca="false">B84</f>
        <v>SKU PROD D</v>
      </c>
      <c r="C98" s="2" t="n">
        <f aca="false">DATE(YEAR(C84),MONTH(C84)+1,DAY(C84))</f>
        <v>46231</v>
      </c>
      <c r="D98" s="0" t="n">
        <f aca="false">ROUNDUP(D84*IF(MONTH(C98)=2,IF(DAY(C98)&lt;15,1.05,1.075),IF(MONTH(C98)=3,IF(DAY(C98)&lt;20,0.98,1.015),IF(MONTH(C98)=4,IF(DAY(C98)&lt;17,1.025,0.95),IF(MONTH(C98)=5,IF(DAY(C98)&lt;22,0.95,1.05),IF(MONTH(C98)=6,0.95,IF(MONTH(C98)=7,IF(DAY(C98)&lt;10,1.15,0.95),IF(MONTH(C98)=8,IF(DAY(C98)&lt;25,0.85,1.03),IF(MONTH(C98)=9,IF(DAY(C98)&lt;25,0.85,1.03),IF(MONTH(C98)=10,IF(DAY(C98)&lt;11,0.9,0.95),IF(MONTH(C98)=11,IF(DAY(C98)&lt;13,1.12,1.06),IF(MONTH(C98)=12,IF(DAY(C98)&lt;10,1.06,1.12),1))))))))))),0)</f>
        <v>2949</v>
      </c>
    </row>
    <row r="99" customFormat="false" ht="15" hidden="false" customHeight="false" outlineLevel="0" collapsed="false">
      <c r="A99" s="0" t="n">
        <v>98</v>
      </c>
      <c r="B99" s="0" t="str">
        <f aca="false">B85</f>
        <v>SKU PROD E</v>
      </c>
      <c r="C99" s="2" t="n">
        <f aca="false">DATE(YEAR(C85),MONTH(C85)+1,DAY(C85))</f>
        <v>46231</v>
      </c>
      <c r="D99" s="0" t="n">
        <f aca="false">ROUNDUP(D85*IF(MONTH(C99)=2,IF(DAY(C99)&lt;15,1.05,1.075),IF(MONTH(C99)=3,IF(DAY(C99)&lt;20,0.98,1.015),IF(MONTH(C99)=4,IF(DAY(C99)&lt;17,1.025,0.95),IF(MONTH(C99)=5,IF(DAY(C99)&lt;22,0.95,1.05),IF(MONTH(C99)=6,0.95,IF(MONTH(C99)=7,IF(DAY(C99)&lt;10,1.15,0.95),IF(MONTH(C99)=8,IF(DAY(C99)&lt;25,0.85,1.03),IF(MONTH(C99)=9,IF(DAY(C99)&lt;25,0.85,1.03),IF(MONTH(C99)=10,IF(DAY(C99)&lt;11,0.9,0.95),IF(MONTH(C99)=11,IF(DAY(C99)&lt;13,1.12,1.06),IF(MONTH(C99)=12,IF(DAY(C99)&lt;10,1.06,1.12),1))))))))))),0)</f>
        <v>1967</v>
      </c>
    </row>
    <row r="100" customFormat="false" ht="15" hidden="false" customHeight="false" outlineLevel="0" collapsed="false">
      <c r="A100" s="0" t="n">
        <v>99</v>
      </c>
      <c r="B100" s="0" t="str">
        <f aca="false">B86</f>
        <v>SKU PROD A</v>
      </c>
      <c r="C100" s="2" t="n">
        <f aca="false">DATE(YEAR(C86),MONTH(C86)+1,DAY(C86))</f>
        <v>46237</v>
      </c>
      <c r="D100" s="0" t="n">
        <f aca="false">ROUNDUP(D86*IF(MONTH(C100)=2,IF(DAY(C100)&lt;15,1.05,1.075),IF(MONTH(C100)=3,IF(DAY(C100)&lt;20,0.98,1.015),IF(MONTH(C100)=4,IF(DAY(C100)&lt;17,1.025,0.95),IF(MONTH(C100)=5,IF(DAY(C100)&lt;22,0.95,1.05),IF(MONTH(C100)=6,0.95,IF(MONTH(C100)=7,IF(DAY(C100)&lt;10,1.15,0.95),IF(MONTH(C100)=8,IF(DAY(C100)&lt;25,0.85,1.03),IF(MONTH(C100)=9,IF(DAY(C100)&lt;25,0.85,1.03),IF(MONTH(C100)=10,IF(DAY(C100)&lt;11,0.9,0.95),IF(MONTH(C100)=11,IF(DAY(C100)&lt;13,1.12,1.06),IF(MONTH(C100)=12,IF(DAY(C100)&lt;10,1.06,1.12),1))))))))))),0)</f>
        <v>932</v>
      </c>
    </row>
    <row r="101" customFormat="false" ht="15" hidden="false" customHeight="false" outlineLevel="0" collapsed="false">
      <c r="A101" s="0" t="n">
        <v>100</v>
      </c>
      <c r="B101" s="0" t="str">
        <f aca="false">B87</f>
        <v>SKU PROD B</v>
      </c>
      <c r="C101" s="2" t="n">
        <f aca="false">DATE(YEAR(C87),MONTH(C87)+1,DAY(C87))</f>
        <v>46237</v>
      </c>
      <c r="D101" s="0" t="n">
        <f aca="false">ROUNDUP(D87*IF(MONTH(C101)=2,IF(DAY(C101)&lt;15,1.05,1.075),IF(MONTH(C101)=3,IF(DAY(C101)&lt;20,0.98,1.015),IF(MONTH(C101)=4,IF(DAY(C101)&lt;17,1.025,0.95),IF(MONTH(C101)=5,IF(DAY(C101)&lt;22,0.95,1.05),IF(MONTH(C101)=6,0.95,IF(MONTH(C101)=7,IF(DAY(C101)&lt;10,1.15,0.95),IF(MONTH(C101)=8,IF(DAY(C101)&lt;25,0.85,1.03),IF(MONTH(C101)=9,IF(DAY(C101)&lt;25,0.85,1.03),IF(MONTH(C101)=10,IF(DAY(C101)&lt;11,0.9,0.95),IF(MONTH(C101)=11,IF(DAY(C101)&lt;13,1.12,1.06),IF(MONTH(C101)=12,IF(DAY(C101)&lt;10,1.06,1.12),1))))))))))),0)</f>
        <v>5585</v>
      </c>
    </row>
    <row r="102" customFormat="false" ht="15" hidden="false" customHeight="false" outlineLevel="0" collapsed="false">
      <c r="A102" s="0" t="n">
        <v>101</v>
      </c>
      <c r="B102" s="0" t="str">
        <f aca="false">B88</f>
        <v>SKU PROD A</v>
      </c>
      <c r="C102" s="2" t="n">
        <f aca="false">DATE(YEAR(C88),MONTH(C88)+1,DAY(C88))</f>
        <v>46238</v>
      </c>
      <c r="D102" s="0" t="n">
        <f aca="false">ROUNDUP(D88*IF(MONTH(C102)=2,IF(DAY(C102)&lt;15,1.05,1.075),IF(MONTH(C102)=3,IF(DAY(C102)&lt;20,0.98,1.015),IF(MONTH(C102)=4,IF(DAY(C102)&lt;17,1.025,0.95),IF(MONTH(C102)=5,IF(DAY(C102)&lt;22,0.95,1.05),IF(MONTH(C102)=6,0.95,IF(MONTH(C102)=7,IF(DAY(C102)&lt;10,1.15,0.95),IF(MONTH(C102)=8,IF(DAY(C102)&lt;25,0.85,1.03),IF(MONTH(C102)=9,IF(DAY(C102)&lt;25,0.85,1.03),IF(MONTH(C102)=10,IF(DAY(C102)&lt;11,0.9,0.95),IF(MONTH(C102)=11,IF(DAY(C102)&lt;13,1.12,1.06),IF(MONTH(C102)=12,IF(DAY(C102)&lt;10,1.06,1.12),1))))))))))),0)</f>
        <v>374</v>
      </c>
    </row>
    <row r="103" customFormat="false" ht="15" hidden="false" customHeight="false" outlineLevel="0" collapsed="false">
      <c r="A103" s="0" t="n">
        <v>102</v>
      </c>
      <c r="B103" s="0" t="str">
        <f aca="false">B89</f>
        <v>SKU PROD C</v>
      </c>
      <c r="C103" s="2" t="n">
        <f aca="false">DATE(YEAR(C89),MONTH(C89)+1,DAY(C89))</f>
        <v>46239</v>
      </c>
      <c r="D103" s="0" t="n">
        <f aca="false">ROUNDUP(D89*IF(MONTH(C103)=2,IF(DAY(C103)&lt;15,1.05,1.075),IF(MONTH(C103)=3,IF(DAY(C103)&lt;20,0.98,1.015),IF(MONTH(C103)=4,IF(DAY(C103)&lt;17,1.025,0.95),IF(MONTH(C103)=5,IF(DAY(C103)&lt;22,0.95,1.05),IF(MONTH(C103)=6,0.95,IF(MONTH(C103)=7,IF(DAY(C103)&lt;10,1.15,0.95),IF(MONTH(C103)=8,IF(DAY(C103)&lt;25,0.85,1.03),IF(MONTH(C103)=9,IF(DAY(C103)&lt;25,0.85,1.03),IF(MONTH(C103)=10,IF(DAY(C103)&lt;11,0.9,0.95),IF(MONTH(C103)=11,IF(DAY(C103)&lt;13,1.12,1.06),IF(MONTH(C103)=12,IF(DAY(C103)&lt;10,1.06,1.12),1))))))))))),0)</f>
        <v>840</v>
      </c>
    </row>
    <row r="104" customFormat="false" ht="15" hidden="false" customHeight="false" outlineLevel="0" collapsed="false">
      <c r="A104" s="0" t="n">
        <v>103</v>
      </c>
      <c r="B104" s="0" t="str">
        <f aca="false">B90</f>
        <v>SKU PROD D</v>
      </c>
      <c r="C104" s="2" t="n">
        <f aca="false">DATE(YEAR(C90),MONTH(C90)+1,DAY(C90))</f>
        <v>46240</v>
      </c>
      <c r="D104" s="0" t="n">
        <f aca="false">ROUNDUP(D90*IF(MONTH(C104)=2,IF(DAY(C104)&lt;15,1.05,1.075),IF(MONTH(C104)=3,IF(DAY(C104)&lt;20,0.98,1.015),IF(MONTH(C104)=4,IF(DAY(C104)&lt;17,1.025,0.95),IF(MONTH(C104)=5,IF(DAY(C104)&lt;22,0.95,1.05),IF(MONTH(C104)=6,0.95,IF(MONTH(C104)=7,IF(DAY(C104)&lt;10,1.15,0.95),IF(MONTH(C104)=8,IF(DAY(C104)&lt;25,0.85,1.03),IF(MONTH(C104)=9,IF(DAY(C104)&lt;25,0.85,1.03),IF(MONTH(C104)=10,IF(DAY(C104)&lt;11,0.9,0.95),IF(MONTH(C104)=11,IF(DAY(C104)&lt;13,1.12,1.06),IF(MONTH(C104)=12,IF(DAY(C104)&lt;10,1.06,1.12),1))))))))))),0)</f>
        <v>561</v>
      </c>
    </row>
    <row r="105" customFormat="false" ht="15" hidden="false" customHeight="false" outlineLevel="0" collapsed="false">
      <c r="A105" s="0" t="n">
        <v>104</v>
      </c>
      <c r="B105" s="0" t="str">
        <f aca="false">B91</f>
        <v>SKU PROD A</v>
      </c>
      <c r="C105" s="2" t="n">
        <f aca="false">DATE(YEAR(C91),MONTH(C91)+1,DAY(C91))</f>
        <v>46241</v>
      </c>
      <c r="D105" s="0" t="n">
        <f aca="false">ROUNDUP(D91*IF(MONTH(C105)=2,IF(DAY(C105)&lt;15,1.05,1.075),IF(MONTH(C105)=3,IF(DAY(C105)&lt;20,0.98,1.015),IF(MONTH(C105)=4,IF(DAY(C105)&lt;17,1.025,0.95),IF(MONTH(C105)=5,IF(DAY(C105)&lt;22,0.95,1.05),IF(MONTH(C105)=6,0.95,IF(MONTH(C105)=7,IF(DAY(C105)&lt;10,1.15,0.95),IF(MONTH(C105)=8,IF(DAY(C105)&lt;25,0.85,1.03),IF(MONTH(C105)=9,IF(DAY(C105)&lt;25,0.85,1.03),IF(MONTH(C105)=10,IF(DAY(C105)&lt;11,0.9,0.95),IF(MONTH(C105)=11,IF(DAY(C105)&lt;13,1.12,1.06),IF(MONTH(C105)=12,IF(DAY(C105)&lt;10,1.06,1.12),1))))))))))),0)</f>
        <v>932</v>
      </c>
    </row>
    <row r="106" customFormat="false" ht="15" hidden="false" customHeight="false" outlineLevel="0" collapsed="false">
      <c r="A106" s="0" t="n">
        <v>105</v>
      </c>
      <c r="B106" s="0" t="str">
        <f aca="false">B92</f>
        <v>SKU PROD C</v>
      </c>
      <c r="C106" s="2" t="n">
        <f aca="false">DATE(YEAR(C92),MONTH(C92)+1,DAY(C92))</f>
        <v>46243</v>
      </c>
      <c r="D106" s="0" t="n">
        <f aca="false">ROUNDUP(D92*IF(MONTH(C106)=2,IF(DAY(C106)&lt;15,1.05,1.075),IF(MONTH(C106)=3,IF(DAY(C106)&lt;20,0.98,1.015),IF(MONTH(C106)=4,IF(DAY(C106)&lt;17,1.025,0.95),IF(MONTH(C106)=5,IF(DAY(C106)&lt;22,0.95,1.05),IF(MONTH(C106)=6,0.95,IF(MONTH(C106)=7,IF(DAY(C106)&lt;10,1.15,0.95),IF(MONTH(C106)=8,IF(DAY(C106)&lt;25,0.85,1.03),IF(MONTH(C106)=9,IF(DAY(C106)&lt;25,0.85,1.03),IF(MONTH(C106)=10,IF(DAY(C106)&lt;11,0.9,0.95),IF(MONTH(C106)=11,IF(DAY(C106)&lt;13,1.12,1.06),IF(MONTH(C106)=12,IF(DAY(C106)&lt;10,1.06,1.12),1))))))))))),0)</f>
        <v>467</v>
      </c>
    </row>
    <row r="107" customFormat="false" ht="15" hidden="false" customHeight="false" outlineLevel="0" collapsed="false">
      <c r="A107" s="0" t="n">
        <v>106</v>
      </c>
      <c r="B107" s="0" t="str">
        <f aca="false">B93</f>
        <v>SKU PROD E</v>
      </c>
      <c r="C107" s="2" t="n">
        <f aca="false">DATE(YEAR(C93),MONTH(C93)+1,DAY(C93))</f>
        <v>46246</v>
      </c>
      <c r="D107" s="0" t="n">
        <f aca="false">ROUNDUP(D93*IF(MONTH(C107)=2,IF(DAY(C107)&lt;15,1.05,1.075),IF(MONTH(C107)=3,IF(DAY(C107)&lt;20,0.98,1.015),IF(MONTH(C107)=4,IF(DAY(C107)&lt;17,1.025,0.95),IF(MONTH(C107)=5,IF(DAY(C107)&lt;22,0.95,1.05),IF(MONTH(C107)=6,0.95,IF(MONTH(C107)=7,IF(DAY(C107)&lt;10,1.15,0.95),IF(MONTH(C107)=8,IF(DAY(C107)&lt;25,0.85,1.03),IF(MONTH(C107)=9,IF(DAY(C107)&lt;25,0.85,1.03),IF(MONTH(C107)=10,IF(DAY(C107)&lt;11,0.9,0.95),IF(MONTH(C107)=11,IF(DAY(C107)&lt;13,1.12,1.06),IF(MONTH(C107)=12,IF(DAY(C107)&lt;10,1.06,1.12),1))))))))))),0)</f>
        <v>309</v>
      </c>
    </row>
    <row r="108" customFormat="false" ht="15" hidden="false" customHeight="false" outlineLevel="0" collapsed="false">
      <c r="A108" s="0" t="n">
        <v>107</v>
      </c>
      <c r="B108" s="0" t="str">
        <f aca="false">B94</f>
        <v>SKU PROD B</v>
      </c>
      <c r="C108" s="2" t="n">
        <f aca="false">DATE(YEAR(C94),MONTH(C94)+1,DAY(C94))</f>
        <v>46247</v>
      </c>
      <c r="D108" s="0" t="n">
        <f aca="false">ROUNDUP(D94*IF(MONTH(C108)=2,IF(DAY(C108)&lt;15,1.05,1.075),IF(MONTH(C108)=3,IF(DAY(C108)&lt;20,0.98,1.015),IF(MONTH(C108)=4,IF(DAY(C108)&lt;17,1.025,0.95),IF(MONTH(C108)=5,IF(DAY(C108)&lt;22,0.95,1.05),IF(MONTH(C108)=6,0.95,IF(MONTH(C108)=7,IF(DAY(C108)&lt;10,1.15,0.95),IF(MONTH(C108)=8,IF(DAY(C108)&lt;25,0.85,1.03),IF(MONTH(C108)=9,IF(DAY(C108)&lt;25,0.85,1.03),IF(MONTH(C108)=10,IF(DAY(C108)&lt;11,0.9,0.95),IF(MONTH(C108)=11,IF(DAY(C108)&lt;13,1.12,1.06),IF(MONTH(C108)=12,IF(DAY(C108)&lt;10,1.06,1.12),1))))))))))),0)</f>
        <v>464</v>
      </c>
    </row>
    <row r="109" customFormat="false" ht="15" hidden="false" customHeight="false" outlineLevel="0" collapsed="false">
      <c r="A109" s="0" t="n">
        <v>108</v>
      </c>
      <c r="B109" s="0" t="str">
        <f aca="false">B95</f>
        <v>SKU PROD D</v>
      </c>
      <c r="C109" s="2" t="n">
        <f aca="false">DATE(YEAR(C95),MONTH(C95)+1,DAY(C95))</f>
        <v>46251</v>
      </c>
      <c r="D109" s="0" t="n">
        <f aca="false">ROUNDUP(D95*IF(MONTH(C109)=2,IF(DAY(C109)&lt;15,1.05,1.075),IF(MONTH(C109)=3,IF(DAY(C109)&lt;20,0.98,1.015),IF(MONTH(C109)=4,IF(DAY(C109)&lt;17,1.025,0.95),IF(MONTH(C109)=5,IF(DAY(C109)&lt;22,0.95,1.05),IF(MONTH(C109)=6,0.95,IF(MONTH(C109)=7,IF(DAY(C109)&lt;10,1.15,0.95),IF(MONTH(C109)=8,IF(DAY(C109)&lt;25,0.85,1.03),IF(MONTH(C109)=9,IF(DAY(C109)&lt;25,0.85,1.03),IF(MONTH(C109)=10,IF(DAY(C109)&lt;11,0.9,0.95),IF(MONTH(C109)=11,IF(DAY(C109)&lt;13,1.12,1.06),IF(MONTH(C109)=12,IF(DAY(C109)&lt;10,1.06,1.12),1))))))))))),0)</f>
        <v>659</v>
      </c>
    </row>
    <row r="110" customFormat="false" ht="15" hidden="false" customHeight="false" outlineLevel="0" collapsed="false">
      <c r="A110" s="0" t="n">
        <v>109</v>
      </c>
      <c r="B110" s="0" t="str">
        <f aca="false">B96</f>
        <v>SKU PROD C</v>
      </c>
      <c r="C110" s="2" t="n">
        <f aca="false">DATE(YEAR(C96),MONTH(C96)+1,DAY(C96))</f>
        <v>46254</v>
      </c>
      <c r="D110" s="0" t="n">
        <f aca="false">ROUNDUP(D96*IF(MONTH(C110)=2,IF(DAY(C110)&lt;15,1.05,1.075),IF(MONTH(C110)=3,IF(DAY(C110)&lt;20,0.98,1.015),IF(MONTH(C110)=4,IF(DAY(C110)&lt;17,1.025,0.95),IF(MONTH(C110)=5,IF(DAY(C110)&lt;22,0.95,1.05),IF(MONTH(C110)=6,0.95,IF(MONTH(C110)=7,IF(DAY(C110)&lt;10,1.15,0.95),IF(MONTH(C110)=8,IF(DAY(C110)&lt;25,0.85,1.03),IF(MONTH(C110)=9,IF(DAY(C110)&lt;25,0.85,1.03),IF(MONTH(C110)=10,IF(DAY(C110)&lt;11,0.9,0.95),IF(MONTH(C110)=11,IF(DAY(C110)&lt;13,1.12,1.06),IF(MONTH(C110)=12,IF(DAY(C110)&lt;10,1.06,1.12),1))))))))))),0)</f>
        <v>607</v>
      </c>
    </row>
    <row r="111" customFormat="false" ht="15" hidden="false" customHeight="false" outlineLevel="0" collapsed="false">
      <c r="A111" s="0" t="n">
        <v>110</v>
      </c>
      <c r="B111" s="0" t="str">
        <f aca="false">B97</f>
        <v>SKU PROD A</v>
      </c>
      <c r="C111" s="2" t="n">
        <f aca="false">DATE(YEAR(C97),MONTH(C97)+1,DAY(C97))</f>
        <v>46258</v>
      </c>
      <c r="D111" s="0" t="n">
        <f aca="false">ROUNDUP(D97*IF(MONTH(C111)=2,IF(DAY(C111)&lt;15,1.05,1.075),IF(MONTH(C111)=3,IF(DAY(C111)&lt;20,0.98,1.015),IF(MONTH(C111)=4,IF(DAY(C111)&lt;17,1.025,0.95),IF(MONTH(C111)=5,IF(DAY(C111)&lt;22,0.95,1.05),IF(MONTH(C111)=6,0.95,IF(MONTH(C111)=7,IF(DAY(C111)&lt;10,1.15,0.95),IF(MONTH(C111)=8,IF(DAY(C111)&lt;25,0.85,1.03),IF(MONTH(C111)=9,IF(DAY(C111)&lt;25,0.85,1.03),IF(MONTH(C111)=10,IF(DAY(C111)&lt;11,0.9,0.95),IF(MONTH(C111)=11,IF(DAY(C111)&lt;13,1.12,1.06),IF(MONTH(C111)=12,IF(DAY(C111)&lt;10,1.06,1.12),1))))))))))),0)</f>
        <v>838</v>
      </c>
    </row>
    <row r="112" customFormat="false" ht="15" hidden="false" customHeight="false" outlineLevel="0" collapsed="false">
      <c r="A112" s="0" t="n">
        <v>111</v>
      </c>
      <c r="B112" s="0" t="str">
        <f aca="false">B98</f>
        <v>SKU PROD D</v>
      </c>
      <c r="C112" s="2" t="n">
        <f aca="false">DATE(YEAR(C98),MONTH(C98)+1,DAY(C98))</f>
        <v>46262</v>
      </c>
      <c r="D112" s="0" t="n">
        <f aca="false">ROUNDUP(D98*IF(MONTH(C112)=2,IF(DAY(C112)&lt;15,1.05,1.075),IF(MONTH(C112)=3,IF(DAY(C112)&lt;20,0.98,1.015),IF(MONTH(C112)=4,IF(DAY(C112)&lt;17,1.025,0.95),IF(MONTH(C112)=5,IF(DAY(C112)&lt;22,0.95,1.05),IF(MONTH(C112)=6,0.95,IF(MONTH(C112)=7,IF(DAY(C112)&lt;10,1.15,0.95),IF(MONTH(C112)=8,IF(DAY(C112)&lt;25,0.85,1.03),IF(MONTH(C112)=9,IF(DAY(C112)&lt;25,0.85,1.03),IF(MONTH(C112)=10,IF(DAY(C112)&lt;11,0.9,0.95),IF(MONTH(C112)=11,IF(DAY(C112)&lt;13,1.12,1.06),IF(MONTH(C112)=12,IF(DAY(C112)&lt;10,1.06,1.12),1))))))))))),0)</f>
        <v>3038</v>
      </c>
    </row>
    <row r="113" customFormat="false" ht="15" hidden="false" customHeight="false" outlineLevel="0" collapsed="false">
      <c r="A113" s="0" t="n">
        <v>112</v>
      </c>
      <c r="B113" s="0" t="str">
        <f aca="false">B99</f>
        <v>SKU PROD E</v>
      </c>
      <c r="C113" s="2" t="n">
        <f aca="false">DATE(YEAR(C99),MONTH(C99)+1,DAY(C99))</f>
        <v>46262</v>
      </c>
      <c r="D113" s="0" t="n">
        <f aca="false">ROUNDUP(D99*IF(MONTH(C113)=2,IF(DAY(C113)&lt;15,1.05,1.075),IF(MONTH(C113)=3,IF(DAY(C113)&lt;20,0.98,1.015),IF(MONTH(C113)=4,IF(DAY(C113)&lt;17,1.025,0.95),IF(MONTH(C113)=5,IF(DAY(C113)&lt;22,0.95,1.05),IF(MONTH(C113)=6,0.95,IF(MONTH(C113)=7,IF(DAY(C113)&lt;10,1.15,0.95),IF(MONTH(C113)=8,IF(DAY(C113)&lt;25,0.85,1.03),IF(MONTH(C113)=9,IF(DAY(C113)&lt;25,0.85,1.03),IF(MONTH(C113)=10,IF(DAY(C113)&lt;11,0.9,0.95),IF(MONTH(C113)=11,IF(DAY(C113)&lt;13,1.12,1.06),IF(MONTH(C113)=12,IF(DAY(C113)&lt;10,1.06,1.12),1))))))))))),0)</f>
        <v>2027</v>
      </c>
    </row>
    <row r="114" customFormat="false" ht="15" hidden="false" customHeight="false" outlineLevel="0" collapsed="false">
      <c r="A114" s="0" t="n">
        <v>113</v>
      </c>
      <c r="B114" s="0" t="str">
        <f aca="false">B100</f>
        <v>SKU PROD A</v>
      </c>
      <c r="C114" s="2" t="n">
        <f aca="false">DATE(YEAR(C100),MONTH(C100)+1,DAY(C100))</f>
        <v>46268</v>
      </c>
      <c r="D114" s="0" t="n">
        <f aca="false">ROUNDUP(D100*IF(MONTH(C114)=2,IF(DAY(C114)&lt;15,1.05,1.075),IF(MONTH(C114)=3,IF(DAY(C114)&lt;20,0.98,1.015),IF(MONTH(C114)=4,IF(DAY(C114)&lt;17,1.025,0.95),IF(MONTH(C114)=5,IF(DAY(C114)&lt;22,0.95,1.05),IF(MONTH(C114)=6,0.95,IF(MONTH(C114)=7,IF(DAY(C114)&lt;10,1.15,0.95),IF(MONTH(C114)=8,IF(DAY(C114)&lt;25,0.85,1.03),IF(MONTH(C114)=9,IF(DAY(C114)&lt;25,0.85,1.03),IF(MONTH(C114)=10,IF(DAY(C114)&lt;11,0.9,0.95),IF(MONTH(C114)=11,IF(DAY(C114)&lt;13,1.12,1.06),IF(MONTH(C114)=12,IF(DAY(C114)&lt;10,1.06,1.12),1))))))))))),0)</f>
        <v>793</v>
      </c>
    </row>
    <row r="115" customFormat="false" ht="15" hidden="false" customHeight="false" outlineLevel="0" collapsed="false">
      <c r="A115" s="0" t="n">
        <v>114</v>
      </c>
      <c r="B115" s="0" t="str">
        <f aca="false">B101</f>
        <v>SKU PROD B</v>
      </c>
      <c r="C115" s="2" t="n">
        <f aca="false">DATE(YEAR(C101),MONTH(C101)+1,DAY(C101))</f>
        <v>46268</v>
      </c>
      <c r="D115" s="0" t="n">
        <f aca="false">ROUNDUP(D101*IF(MONTH(C115)=2,IF(DAY(C115)&lt;15,1.05,1.075),IF(MONTH(C115)=3,IF(DAY(C115)&lt;20,0.98,1.015),IF(MONTH(C115)=4,IF(DAY(C115)&lt;17,1.025,0.95),IF(MONTH(C115)=5,IF(DAY(C115)&lt;22,0.95,1.05),IF(MONTH(C115)=6,0.95,IF(MONTH(C115)=7,IF(DAY(C115)&lt;10,1.15,0.95),IF(MONTH(C115)=8,IF(DAY(C115)&lt;25,0.85,1.03),IF(MONTH(C115)=9,IF(DAY(C115)&lt;25,0.85,1.03),IF(MONTH(C115)=10,IF(DAY(C115)&lt;11,0.9,0.95),IF(MONTH(C115)=11,IF(DAY(C115)&lt;13,1.12,1.06),IF(MONTH(C115)=12,IF(DAY(C115)&lt;10,1.06,1.12),1))))))))))),0)</f>
        <v>4748</v>
      </c>
    </row>
    <row r="116" customFormat="false" ht="15" hidden="false" customHeight="false" outlineLevel="0" collapsed="false">
      <c r="A116" s="0" t="n">
        <v>115</v>
      </c>
      <c r="B116" s="0" t="str">
        <f aca="false">B102</f>
        <v>SKU PROD A</v>
      </c>
      <c r="C116" s="2" t="n">
        <f aca="false">DATE(YEAR(C102),MONTH(C102)+1,DAY(C102))</f>
        <v>46269</v>
      </c>
      <c r="D116" s="0" t="n">
        <f aca="false">ROUNDUP(D102*IF(MONTH(C116)=2,IF(DAY(C116)&lt;15,1.05,1.075),IF(MONTH(C116)=3,IF(DAY(C116)&lt;20,0.98,1.015),IF(MONTH(C116)=4,IF(DAY(C116)&lt;17,1.025,0.95),IF(MONTH(C116)=5,IF(DAY(C116)&lt;22,0.95,1.05),IF(MONTH(C116)=6,0.95,IF(MONTH(C116)=7,IF(DAY(C116)&lt;10,1.15,0.95),IF(MONTH(C116)=8,IF(DAY(C116)&lt;25,0.85,1.03),IF(MONTH(C116)=9,IF(DAY(C116)&lt;25,0.85,1.03),IF(MONTH(C116)=10,IF(DAY(C116)&lt;11,0.9,0.95),IF(MONTH(C116)=11,IF(DAY(C116)&lt;13,1.12,1.06),IF(MONTH(C116)=12,IF(DAY(C116)&lt;10,1.06,1.12),1))))))))))),0)</f>
        <v>318</v>
      </c>
    </row>
    <row r="117" customFormat="false" ht="15" hidden="false" customHeight="false" outlineLevel="0" collapsed="false">
      <c r="A117" s="0" t="n">
        <v>116</v>
      </c>
      <c r="B117" s="0" t="str">
        <f aca="false">B103</f>
        <v>SKU PROD C</v>
      </c>
      <c r="C117" s="2" t="n">
        <f aca="false">DATE(YEAR(C103),MONTH(C103)+1,DAY(C103))</f>
        <v>46270</v>
      </c>
      <c r="D117" s="0" t="n">
        <f aca="false">ROUNDUP(D103*IF(MONTH(C117)=2,IF(DAY(C117)&lt;15,1.05,1.075),IF(MONTH(C117)=3,IF(DAY(C117)&lt;20,0.98,1.015),IF(MONTH(C117)=4,IF(DAY(C117)&lt;17,1.025,0.95),IF(MONTH(C117)=5,IF(DAY(C117)&lt;22,0.95,1.05),IF(MONTH(C117)=6,0.95,IF(MONTH(C117)=7,IF(DAY(C117)&lt;10,1.15,0.95),IF(MONTH(C117)=8,IF(DAY(C117)&lt;25,0.85,1.03),IF(MONTH(C117)=9,IF(DAY(C117)&lt;25,0.85,1.03),IF(MONTH(C117)=10,IF(DAY(C117)&lt;11,0.9,0.95),IF(MONTH(C117)=11,IF(DAY(C117)&lt;13,1.12,1.06),IF(MONTH(C117)=12,IF(DAY(C117)&lt;10,1.06,1.12),1))))))))))),0)</f>
        <v>714</v>
      </c>
    </row>
    <row r="118" customFormat="false" ht="15" hidden="false" customHeight="false" outlineLevel="0" collapsed="false">
      <c r="A118" s="0" t="n">
        <v>117</v>
      </c>
      <c r="B118" s="0" t="str">
        <f aca="false">B104</f>
        <v>SKU PROD D</v>
      </c>
      <c r="C118" s="2" t="n">
        <f aca="false">DATE(YEAR(C104),MONTH(C104)+1,DAY(C104))</f>
        <v>46271</v>
      </c>
      <c r="D118" s="0" t="n">
        <f aca="false">ROUNDUP(D104*IF(MONTH(C118)=2,IF(DAY(C118)&lt;15,1.05,1.075),IF(MONTH(C118)=3,IF(DAY(C118)&lt;20,0.98,1.015),IF(MONTH(C118)=4,IF(DAY(C118)&lt;17,1.025,0.95),IF(MONTH(C118)=5,IF(DAY(C118)&lt;22,0.95,1.05),IF(MONTH(C118)=6,0.95,IF(MONTH(C118)=7,IF(DAY(C118)&lt;10,1.15,0.95),IF(MONTH(C118)=8,IF(DAY(C118)&lt;25,0.85,1.03),IF(MONTH(C118)=9,IF(DAY(C118)&lt;25,0.85,1.03),IF(MONTH(C118)=10,IF(DAY(C118)&lt;11,0.9,0.95),IF(MONTH(C118)=11,IF(DAY(C118)&lt;13,1.12,1.06),IF(MONTH(C118)=12,IF(DAY(C118)&lt;10,1.06,1.12),1))))))))))),0)</f>
        <v>477</v>
      </c>
    </row>
    <row r="119" customFormat="false" ht="15" hidden="false" customHeight="false" outlineLevel="0" collapsed="false">
      <c r="A119" s="0" t="n">
        <v>118</v>
      </c>
      <c r="B119" s="0" t="str">
        <f aca="false">B105</f>
        <v>SKU PROD A</v>
      </c>
      <c r="C119" s="2" t="n">
        <f aca="false">DATE(YEAR(C105),MONTH(C105)+1,DAY(C105))</f>
        <v>46272</v>
      </c>
      <c r="D119" s="0" t="n">
        <f aca="false">ROUNDUP(D105*IF(MONTH(C119)=2,IF(DAY(C119)&lt;15,1.05,1.075),IF(MONTH(C119)=3,IF(DAY(C119)&lt;20,0.98,1.015),IF(MONTH(C119)=4,IF(DAY(C119)&lt;17,1.025,0.95),IF(MONTH(C119)=5,IF(DAY(C119)&lt;22,0.95,1.05),IF(MONTH(C119)=6,0.95,IF(MONTH(C119)=7,IF(DAY(C119)&lt;10,1.15,0.95),IF(MONTH(C119)=8,IF(DAY(C119)&lt;25,0.85,1.03),IF(MONTH(C119)=9,IF(DAY(C119)&lt;25,0.85,1.03),IF(MONTH(C119)=10,IF(DAY(C119)&lt;11,0.9,0.95),IF(MONTH(C119)=11,IF(DAY(C119)&lt;13,1.12,1.06),IF(MONTH(C119)=12,IF(DAY(C119)&lt;10,1.06,1.12),1))))))))))),0)</f>
        <v>793</v>
      </c>
    </row>
    <row r="120" customFormat="false" ht="15" hidden="false" customHeight="false" outlineLevel="0" collapsed="false">
      <c r="A120" s="0" t="n">
        <v>119</v>
      </c>
      <c r="B120" s="0" t="str">
        <f aca="false">B106</f>
        <v>SKU PROD C</v>
      </c>
      <c r="C120" s="2" t="n">
        <f aca="false">DATE(YEAR(C106),MONTH(C106)+1,DAY(C106))</f>
        <v>46274</v>
      </c>
      <c r="D120" s="0" t="n">
        <f aca="false">ROUNDUP(D106*IF(MONTH(C120)=2,IF(DAY(C120)&lt;15,1.05,1.075),IF(MONTH(C120)=3,IF(DAY(C120)&lt;20,0.98,1.015),IF(MONTH(C120)=4,IF(DAY(C120)&lt;17,1.025,0.95),IF(MONTH(C120)=5,IF(DAY(C120)&lt;22,0.95,1.05),IF(MONTH(C120)=6,0.95,IF(MONTH(C120)=7,IF(DAY(C120)&lt;10,1.15,0.95),IF(MONTH(C120)=8,IF(DAY(C120)&lt;25,0.85,1.03),IF(MONTH(C120)=9,IF(DAY(C120)&lt;25,0.85,1.03),IF(MONTH(C120)=10,IF(DAY(C120)&lt;11,0.9,0.95),IF(MONTH(C120)=11,IF(DAY(C120)&lt;13,1.12,1.06),IF(MONTH(C120)=12,IF(DAY(C120)&lt;10,1.06,1.12),1))))))))))),0)</f>
        <v>397</v>
      </c>
    </row>
    <row r="121" customFormat="false" ht="15" hidden="false" customHeight="false" outlineLevel="0" collapsed="false">
      <c r="A121" s="0" t="n">
        <v>120</v>
      </c>
      <c r="B121" s="0" t="str">
        <f aca="false">B107</f>
        <v>SKU PROD E</v>
      </c>
      <c r="C121" s="2" t="n">
        <f aca="false">DATE(YEAR(C107),MONTH(C107)+1,DAY(C107))</f>
        <v>46277</v>
      </c>
      <c r="D121" s="0" t="n">
        <f aca="false">ROUNDUP(D107*IF(MONTH(C121)=2,IF(DAY(C121)&lt;15,1.05,1.075),IF(MONTH(C121)=3,IF(DAY(C121)&lt;20,0.98,1.015),IF(MONTH(C121)=4,IF(DAY(C121)&lt;17,1.025,0.95),IF(MONTH(C121)=5,IF(DAY(C121)&lt;22,0.95,1.05),IF(MONTH(C121)=6,0.95,IF(MONTH(C121)=7,IF(DAY(C121)&lt;10,1.15,0.95),IF(MONTH(C121)=8,IF(DAY(C121)&lt;25,0.85,1.03),IF(MONTH(C121)=9,IF(DAY(C121)&lt;25,0.85,1.03),IF(MONTH(C121)=10,IF(DAY(C121)&lt;11,0.9,0.95),IF(MONTH(C121)=11,IF(DAY(C121)&lt;13,1.12,1.06),IF(MONTH(C121)=12,IF(DAY(C121)&lt;10,1.06,1.12),1))))))))))),0)</f>
        <v>263</v>
      </c>
    </row>
    <row r="122" customFormat="false" ht="15" hidden="false" customHeight="false" outlineLevel="0" collapsed="false">
      <c r="A122" s="0" t="n">
        <v>121</v>
      </c>
      <c r="B122" s="0" t="str">
        <f aca="false">B108</f>
        <v>SKU PROD B</v>
      </c>
      <c r="C122" s="2" t="n">
        <f aca="false">DATE(YEAR(C108),MONTH(C108)+1,DAY(C108))</f>
        <v>46278</v>
      </c>
      <c r="D122" s="0" t="n">
        <f aca="false">ROUNDUP(D108*IF(MONTH(C122)=2,IF(DAY(C122)&lt;15,1.05,1.075),IF(MONTH(C122)=3,IF(DAY(C122)&lt;20,0.98,1.015),IF(MONTH(C122)=4,IF(DAY(C122)&lt;17,1.025,0.95),IF(MONTH(C122)=5,IF(DAY(C122)&lt;22,0.95,1.05),IF(MONTH(C122)=6,0.95,IF(MONTH(C122)=7,IF(DAY(C122)&lt;10,1.15,0.95),IF(MONTH(C122)=8,IF(DAY(C122)&lt;25,0.85,1.03),IF(MONTH(C122)=9,IF(DAY(C122)&lt;25,0.85,1.03),IF(MONTH(C122)=10,IF(DAY(C122)&lt;11,0.9,0.95),IF(MONTH(C122)=11,IF(DAY(C122)&lt;13,1.12,1.06),IF(MONTH(C122)=12,IF(DAY(C122)&lt;10,1.06,1.12),1))))))))))),0)</f>
        <v>395</v>
      </c>
    </row>
    <row r="123" customFormat="false" ht="15" hidden="false" customHeight="false" outlineLevel="0" collapsed="false">
      <c r="A123" s="0" t="n">
        <v>122</v>
      </c>
      <c r="B123" s="0" t="str">
        <f aca="false">B109</f>
        <v>SKU PROD D</v>
      </c>
      <c r="C123" s="2" t="n">
        <f aca="false">DATE(YEAR(C109),MONTH(C109)+1,DAY(C109))</f>
        <v>46282</v>
      </c>
      <c r="D123" s="0" t="n">
        <f aca="false">ROUNDUP(D109*IF(MONTH(C123)=2,IF(DAY(C123)&lt;15,1.05,1.075),IF(MONTH(C123)=3,IF(DAY(C123)&lt;20,0.98,1.015),IF(MONTH(C123)=4,IF(DAY(C123)&lt;17,1.025,0.95),IF(MONTH(C123)=5,IF(DAY(C123)&lt;22,0.95,1.05),IF(MONTH(C123)=6,0.95,IF(MONTH(C123)=7,IF(DAY(C123)&lt;10,1.15,0.95),IF(MONTH(C123)=8,IF(DAY(C123)&lt;25,0.85,1.03),IF(MONTH(C123)=9,IF(DAY(C123)&lt;25,0.85,1.03),IF(MONTH(C123)=10,IF(DAY(C123)&lt;11,0.9,0.95),IF(MONTH(C123)=11,IF(DAY(C123)&lt;13,1.12,1.06),IF(MONTH(C123)=12,IF(DAY(C123)&lt;10,1.06,1.12),1))))))))))),0)</f>
        <v>561</v>
      </c>
    </row>
    <row r="124" customFormat="false" ht="15" hidden="false" customHeight="false" outlineLevel="0" collapsed="false">
      <c r="A124" s="0" t="n">
        <v>123</v>
      </c>
      <c r="B124" s="0" t="str">
        <f aca="false">B110</f>
        <v>SKU PROD C</v>
      </c>
      <c r="C124" s="2" t="n">
        <f aca="false">DATE(YEAR(C110),MONTH(C110)+1,DAY(C110))</f>
        <v>46285</v>
      </c>
      <c r="D124" s="0" t="n">
        <f aca="false">ROUNDUP(D110*IF(MONTH(C124)=2,IF(DAY(C124)&lt;15,1.05,1.075),IF(MONTH(C124)=3,IF(DAY(C124)&lt;20,0.98,1.015),IF(MONTH(C124)=4,IF(DAY(C124)&lt;17,1.025,0.95),IF(MONTH(C124)=5,IF(DAY(C124)&lt;22,0.95,1.05),IF(MONTH(C124)=6,0.95,IF(MONTH(C124)=7,IF(DAY(C124)&lt;10,1.15,0.95),IF(MONTH(C124)=8,IF(DAY(C124)&lt;25,0.85,1.03),IF(MONTH(C124)=9,IF(DAY(C124)&lt;25,0.85,1.03),IF(MONTH(C124)=10,IF(DAY(C124)&lt;11,0.9,0.95),IF(MONTH(C124)=11,IF(DAY(C124)&lt;13,1.12,1.06),IF(MONTH(C124)=12,IF(DAY(C124)&lt;10,1.06,1.12),1))))))))))),0)</f>
        <v>516</v>
      </c>
    </row>
    <row r="125" customFormat="false" ht="15" hidden="false" customHeight="false" outlineLevel="0" collapsed="false">
      <c r="A125" s="0" t="n">
        <v>124</v>
      </c>
      <c r="B125" s="0" t="str">
        <f aca="false">B111</f>
        <v>SKU PROD A</v>
      </c>
      <c r="C125" s="2" t="n">
        <f aca="false">DATE(YEAR(C111),MONTH(C111)+1,DAY(C111))</f>
        <v>46289</v>
      </c>
      <c r="D125" s="0" t="n">
        <f aca="false">ROUNDUP(D111*IF(MONTH(C125)=2,IF(DAY(C125)&lt;15,1.05,1.075),IF(MONTH(C125)=3,IF(DAY(C125)&lt;20,0.98,1.015),IF(MONTH(C125)=4,IF(DAY(C125)&lt;17,1.025,0.95),IF(MONTH(C125)=5,IF(DAY(C125)&lt;22,0.95,1.05),IF(MONTH(C125)=6,0.95,IF(MONTH(C125)=7,IF(DAY(C125)&lt;10,1.15,0.95),IF(MONTH(C125)=8,IF(DAY(C125)&lt;25,0.85,1.03),IF(MONTH(C125)=9,IF(DAY(C125)&lt;25,0.85,1.03),IF(MONTH(C125)=10,IF(DAY(C125)&lt;11,0.9,0.95),IF(MONTH(C125)=11,IF(DAY(C125)&lt;13,1.12,1.06),IF(MONTH(C125)=12,IF(DAY(C125)&lt;10,1.06,1.12),1))))))))))),0)</f>
        <v>713</v>
      </c>
    </row>
    <row r="126" customFormat="false" ht="15" hidden="false" customHeight="false" outlineLevel="0" collapsed="false">
      <c r="A126" s="0" t="n">
        <v>125</v>
      </c>
      <c r="B126" s="0" t="str">
        <f aca="false">B112</f>
        <v>SKU PROD D</v>
      </c>
      <c r="C126" s="2" t="n">
        <f aca="false">DATE(YEAR(C112),MONTH(C112)+1,DAY(C112))</f>
        <v>46293</v>
      </c>
      <c r="D126" s="0" t="n">
        <f aca="false">ROUNDUP(D112*IF(MONTH(C126)=2,IF(DAY(C126)&lt;15,1.05,1.075),IF(MONTH(C126)=3,IF(DAY(C126)&lt;20,0.98,1.015),IF(MONTH(C126)=4,IF(DAY(C126)&lt;17,1.025,0.95),IF(MONTH(C126)=5,IF(DAY(C126)&lt;22,0.95,1.05),IF(MONTH(C126)=6,0.95,IF(MONTH(C126)=7,IF(DAY(C126)&lt;10,1.15,0.95),IF(MONTH(C126)=8,IF(DAY(C126)&lt;25,0.85,1.03),IF(MONTH(C126)=9,IF(DAY(C126)&lt;25,0.85,1.03),IF(MONTH(C126)=10,IF(DAY(C126)&lt;11,0.9,0.95),IF(MONTH(C126)=11,IF(DAY(C126)&lt;13,1.12,1.06),IF(MONTH(C126)=12,IF(DAY(C126)&lt;10,1.06,1.12),1))))))))))),0)</f>
        <v>3130</v>
      </c>
    </row>
    <row r="127" customFormat="false" ht="15" hidden="false" customHeight="false" outlineLevel="0" collapsed="false">
      <c r="A127" s="0" t="n">
        <v>126</v>
      </c>
      <c r="B127" s="0" t="str">
        <f aca="false">B113</f>
        <v>SKU PROD E</v>
      </c>
      <c r="C127" s="2" t="n">
        <f aca="false">DATE(YEAR(C113),MONTH(C113)+1,DAY(C113))</f>
        <v>46293</v>
      </c>
      <c r="D127" s="0" t="n">
        <f aca="false">ROUNDUP(D113*IF(MONTH(C127)=2,IF(DAY(C127)&lt;15,1.05,1.075),IF(MONTH(C127)=3,IF(DAY(C127)&lt;20,0.98,1.015),IF(MONTH(C127)=4,IF(DAY(C127)&lt;17,1.025,0.95),IF(MONTH(C127)=5,IF(DAY(C127)&lt;22,0.95,1.05),IF(MONTH(C127)=6,0.95,IF(MONTH(C127)=7,IF(DAY(C127)&lt;10,1.15,0.95),IF(MONTH(C127)=8,IF(DAY(C127)&lt;25,0.85,1.03),IF(MONTH(C127)=9,IF(DAY(C127)&lt;25,0.85,1.03),IF(MONTH(C127)=10,IF(DAY(C127)&lt;11,0.9,0.95),IF(MONTH(C127)=11,IF(DAY(C127)&lt;13,1.12,1.06),IF(MONTH(C127)=12,IF(DAY(C127)&lt;10,1.06,1.12),1))))))))))),0)</f>
        <v>2088</v>
      </c>
    </row>
    <row r="128" customFormat="false" ht="15" hidden="false" customHeight="false" outlineLevel="0" collapsed="false">
      <c r="A128" s="0" t="n">
        <v>127</v>
      </c>
      <c r="B128" s="0" t="str">
        <f aca="false">B114</f>
        <v>SKU PROD A</v>
      </c>
      <c r="C128" s="2" t="n">
        <f aca="false">DATE(YEAR(C114),MONTH(C114)+1,DAY(C114))</f>
        <v>46298</v>
      </c>
      <c r="D128" s="0" t="n">
        <f aca="false">ROUNDUP(D114*IF(MONTH(C128)=2,IF(DAY(C128)&lt;15,1.05,1.075),IF(MONTH(C128)=3,IF(DAY(C128)&lt;20,0.98,1.015),IF(MONTH(C128)=4,IF(DAY(C128)&lt;17,1.025,0.95),IF(MONTH(C128)=5,IF(DAY(C128)&lt;22,0.95,1.05),IF(MONTH(C128)=6,0.95,IF(MONTH(C128)=7,IF(DAY(C128)&lt;10,1.15,0.95),IF(MONTH(C128)=8,IF(DAY(C128)&lt;25,0.85,1.03),IF(MONTH(C128)=9,IF(DAY(C128)&lt;25,0.85,1.03),IF(MONTH(C128)=10,IF(DAY(C128)&lt;11,0.9,0.95),IF(MONTH(C128)=11,IF(DAY(C128)&lt;13,1.12,1.06),IF(MONTH(C128)=12,IF(DAY(C128)&lt;10,1.06,1.12),1))))))))))),0)</f>
        <v>714</v>
      </c>
    </row>
    <row r="129" customFormat="false" ht="15" hidden="false" customHeight="false" outlineLevel="0" collapsed="false">
      <c r="A129" s="0" t="n">
        <v>128</v>
      </c>
      <c r="B129" s="0" t="str">
        <f aca="false">B115</f>
        <v>SKU PROD B</v>
      </c>
      <c r="C129" s="2" t="n">
        <f aca="false">DATE(YEAR(C115),MONTH(C115)+1,DAY(C115))</f>
        <v>46298</v>
      </c>
      <c r="D129" s="0" t="n">
        <f aca="false">ROUNDUP(D115*IF(MONTH(C129)=2,IF(DAY(C129)&lt;15,1.05,1.075),IF(MONTH(C129)=3,IF(DAY(C129)&lt;20,0.98,1.015),IF(MONTH(C129)=4,IF(DAY(C129)&lt;17,1.025,0.95),IF(MONTH(C129)=5,IF(DAY(C129)&lt;22,0.95,1.05),IF(MONTH(C129)=6,0.95,IF(MONTH(C129)=7,IF(DAY(C129)&lt;10,1.15,0.95),IF(MONTH(C129)=8,IF(DAY(C129)&lt;25,0.85,1.03),IF(MONTH(C129)=9,IF(DAY(C129)&lt;25,0.85,1.03),IF(MONTH(C129)=10,IF(DAY(C129)&lt;11,0.9,0.95),IF(MONTH(C129)=11,IF(DAY(C129)&lt;13,1.12,1.06),IF(MONTH(C129)=12,IF(DAY(C129)&lt;10,1.06,1.12),1))))))))))),0)</f>
        <v>4274</v>
      </c>
    </row>
    <row r="130" customFormat="false" ht="15" hidden="false" customHeight="false" outlineLevel="0" collapsed="false">
      <c r="A130" s="0" t="n">
        <v>129</v>
      </c>
      <c r="B130" s="0" t="str">
        <f aca="false">B116</f>
        <v>SKU PROD A</v>
      </c>
      <c r="C130" s="2" t="n">
        <f aca="false">DATE(YEAR(C116),MONTH(C116)+1,DAY(C116))</f>
        <v>46299</v>
      </c>
      <c r="D130" s="0" t="n">
        <f aca="false">ROUNDUP(D116*IF(MONTH(C130)=2,IF(DAY(C130)&lt;15,1.05,1.075),IF(MONTH(C130)=3,IF(DAY(C130)&lt;20,0.98,1.015),IF(MONTH(C130)=4,IF(DAY(C130)&lt;17,1.025,0.95),IF(MONTH(C130)=5,IF(DAY(C130)&lt;22,0.95,1.05),IF(MONTH(C130)=6,0.95,IF(MONTH(C130)=7,IF(DAY(C130)&lt;10,1.15,0.95),IF(MONTH(C130)=8,IF(DAY(C130)&lt;25,0.85,1.03),IF(MONTH(C130)=9,IF(DAY(C130)&lt;25,0.85,1.03),IF(MONTH(C130)=10,IF(DAY(C130)&lt;11,0.9,0.95),IF(MONTH(C130)=11,IF(DAY(C130)&lt;13,1.12,1.06),IF(MONTH(C130)=12,IF(DAY(C130)&lt;10,1.06,1.12),1))))))))))),0)</f>
        <v>287</v>
      </c>
    </row>
    <row r="131" customFormat="false" ht="15" hidden="false" customHeight="false" outlineLevel="0" collapsed="false">
      <c r="A131" s="0" t="n">
        <v>130</v>
      </c>
      <c r="B131" s="0" t="str">
        <f aca="false">B117</f>
        <v>SKU PROD C</v>
      </c>
      <c r="C131" s="2" t="n">
        <f aca="false">DATE(YEAR(C117),MONTH(C117)+1,DAY(C117))</f>
        <v>46300</v>
      </c>
      <c r="D131" s="0" t="n">
        <f aca="false">ROUNDUP(D117*IF(MONTH(C131)=2,IF(DAY(C131)&lt;15,1.05,1.075),IF(MONTH(C131)=3,IF(DAY(C131)&lt;20,0.98,1.015),IF(MONTH(C131)=4,IF(DAY(C131)&lt;17,1.025,0.95),IF(MONTH(C131)=5,IF(DAY(C131)&lt;22,0.95,1.05),IF(MONTH(C131)=6,0.95,IF(MONTH(C131)=7,IF(DAY(C131)&lt;10,1.15,0.95),IF(MONTH(C131)=8,IF(DAY(C131)&lt;25,0.85,1.03),IF(MONTH(C131)=9,IF(DAY(C131)&lt;25,0.85,1.03),IF(MONTH(C131)=10,IF(DAY(C131)&lt;11,0.9,0.95),IF(MONTH(C131)=11,IF(DAY(C131)&lt;13,1.12,1.06),IF(MONTH(C131)=12,IF(DAY(C131)&lt;10,1.06,1.12),1))))))))))),0)</f>
        <v>643</v>
      </c>
    </row>
    <row r="132" customFormat="false" ht="15" hidden="false" customHeight="false" outlineLevel="0" collapsed="false">
      <c r="A132" s="0" t="n">
        <v>131</v>
      </c>
      <c r="B132" s="0" t="str">
        <f aca="false">B118</f>
        <v>SKU PROD D</v>
      </c>
      <c r="C132" s="2" t="n">
        <f aca="false">DATE(YEAR(C118),MONTH(C118)+1,DAY(C118))</f>
        <v>46301</v>
      </c>
      <c r="D132" s="0" t="n">
        <f aca="false">ROUNDUP(D118*IF(MONTH(C132)=2,IF(DAY(C132)&lt;15,1.05,1.075),IF(MONTH(C132)=3,IF(DAY(C132)&lt;20,0.98,1.015),IF(MONTH(C132)=4,IF(DAY(C132)&lt;17,1.025,0.95),IF(MONTH(C132)=5,IF(DAY(C132)&lt;22,0.95,1.05),IF(MONTH(C132)=6,0.95,IF(MONTH(C132)=7,IF(DAY(C132)&lt;10,1.15,0.95),IF(MONTH(C132)=8,IF(DAY(C132)&lt;25,0.85,1.03),IF(MONTH(C132)=9,IF(DAY(C132)&lt;25,0.85,1.03),IF(MONTH(C132)=10,IF(DAY(C132)&lt;11,0.9,0.95),IF(MONTH(C132)=11,IF(DAY(C132)&lt;13,1.12,1.06),IF(MONTH(C132)=12,IF(DAY(C132)&lt;10,1.06,1.12),1))))))))))),0)</f>
        <v>430</v>
      </c>
    </row>
    <row r="133" customFormat="false" ht="15" hidden="false" customHeight="false" outlineLevel="0" collapsed="false">
      <c r="A133" s="0" t="n">
        <v>132</v>
      </c>
      <c r="B133" s="0" t="str">
        <f aca="false">B119</f>
        <v>SKU PROD A</v>
      </c>
      <c r="C133" s="2" t="n">
        <f aca="false">DATE(YEAR(C119),MONTH(C119)+1,DAY(C119))</f>
        <v>46302</v>
      </c>
      <c r="D133" s="0" t="n">
        <f aca="false">ROUNDUP(D119*IF(MONTH(C133)=2,IF(DAY(C133)&lt;15,1.05,1.075),IF(MONTH(C133)=3,IF(DAY(C133)&lt;20,0.98,1.015),IF(MONTH(C133)=4,IF(DAY(C133)&lt;17,1.025,0.95),IF(MONTH(C133)=5,IF(DAY(C133)&lt;22,0.95,1.05),IF(MONTH(C133)=6,0.95,IF(MONTH(C133)=7,IF(DAY(C133)&lt;10,1.15,0.95),IF(MONTH(C133)=8,IF(DAY(C133)&lt;25,0.85,1.03),IF(MONTH(C133)=9,IF(DAY(C133)&lt;25,0.85,1.03),IF(MONTH(C133)=10,IF(DAY(C133)&lt;11,0.9,0.95),IF(MONTH(C133)=11,IF(DAY(C133)&lt;13,1.12,1.06),IF(MONTH(C133)=12,IF(DAY(C133)&lt;10,1.06,1.12),1))))))))))),0)</f>
        <v>714</v>
      </c>
    </row>
    <row r="134" customFormat="false" ht="15" hidden="false" customHeight="false" outlineLevel="0" collapsed="false">
      <c r="A134" s="0" t="n">
        <v>133</v>
      </c>
      <c r="B134" s="0" t="str">
        <f aca="false">B120</f>
        <v>SKU PROD C</v>
      </c>
      <c r="C134" s="2" t="n">
        <f aca="false">DATE(YEAR(C120),MONTH(C120)+1,DAY(C120))</f>
        <v>46304</v>
      </c>
      <c r="D134" s="0" t="n">
        <f aca="false">ROUNDUP(D120*IF(MONTH(C134)=2,IF(DAY(C134)&lt;15,1.05,1.075),IF(MONTH(C134)=3,IF(DAY(C134)&lt;20,0.98,1.015),IF(MONTH(C134)=4,IF(DAY(C134)&lt;17,1.025,0.95),IF(MONTH(C134)=5,IF(DAY(C134)&lt;22,0.95,1.05),IF(MONTH(C134)=6,0.95,IF(MONTH(C134)=7,IF(DAY(C134)&lt;10,1.15,0.95),IF(MONTH(C134)=8,IF(DAY(C134)&lt;25,0.85,1.03),IF(MONTH(C134)=9,IF(DAY(C134)&lt;25,0.85,1.03),IF(MONTH(C134)=10,IF(DAY(C134)&lt;11,0.9,0.95),IF(MONTH(C134)=11,IF(DAY(C134)&lt;13,1.12,1.06),IF(MONTH(C134)=12,IF(DAY(C134)&lt;10,1.06,1.12),1))))))))))),0)</f>
        <v>358</v>
      </c>
    </row>
    <row r="135" customFormat="false" ht="15" hidden="false" customHeight="false" outlineLevel="0" collapsed="false">
      <c r="A135" s="0" t="n">
        <v>134</v>
      </c>
      <c r="B135" s="0" t="str">
        <f aca="false">B121</f>
        <v>SKU PROD E</v>
      </c>
      <c r="C135" s="2" t="n">
        <f aca="false">DATE(YEAR(C121),MONTH(C121)+1,DAY(C121))</f>
        <v>46307</v>
      </c>
      <c r="D135" s="0" t="n">
        <f aca="false">ROUNDUP(D121*IF(MONTH(C135)=2,IF(DAY(C135)&lt;15,1.05,1.075),IF(MONTH(C135)=3,IF(DAY(C135)&lt;20,0.98,1.015),IF(MONTH(C135)=4,IF(DAY(C135)&lt;17,1.025,0.95),IF(MONTH(C135)=5,IF(DAY(C135)&lt;22,0.95,1.05),IF(MONTH(C135)=6,0.95,IF(MONTH(C135)=7,IF(DAY(C135)&lt;10,1.15,0.95),IF(MONTH(C135)=8,IF(DAY(C135)&lt;25,0.85,1.03),IF(MONTH(C135)=9,IF(DAY(C135)&lt;25,0.85,1.03),IF(MONTH(C135)=10,IF(DAY(C135)&lt;11,0.9,0.95),IF(MONTH(C135)=11,IF(DAY(C135)&lt;13,1.12,1.06),IF(MONTH(C135)=12,IF(DAY(C135)&lt;10,1.06,1.12),1))))))))))),0)</f>
        <v>250</v>
      </c>
    </row>
    <row r="136" customFormat="false" ht="15" hidden="false" customHeight="false" outlineLevel="0" collapsed="false">
      <c r="A136" s="0" t="n">
        <v>135</v>
      </c>
      <c r="B136" s="0" t="str">
        <f aca="false">B122</f>
        <v>SKU PROD B</v>
      </c>
      <c r="C136" s="2" t="n">
        <f aca="false">DATE(YEAR(C122),MONTH(C122)+1,DAY(C122))</f>
        <v>46308</v>
      </c>
      <c r="D136" s="0" t="n">
        <f aca="false">ROUNDUP(D122*IF(MONTH(C136)=2,IF(DAY(C136)&lt;15,1.05,1.075),IF(MONTH(C136)=3,IF(DAY(C136)&lt;20,0.98,1.015),IF(MONTH(C136)=4,IF(DAY(C136)&lt;17,1.025,0.95),IF(MONTH(C136)=5,IF(DAY(C136)&lt;22,0.95,1.05),IF(MONTH(C136)=6,0.95,IF(MONTH(C136)=7,IF(DAY(C136)&lt;10,1.15,0.95),IF(MONTH(C136)=8,IF(DAY(C136)&lt;25,0.85,1.03),IF(MONTH(C136)=9,IF(DAY(C136)&lt;25,0.85,1.03),IF(MONTH(C136)=10,IF(DAY(C136)&lt;11,0.9,0.95),IF(MONTH(C136)=11,IF(DAY(C136)&lt;13,1.12,1.06),IF(MONTH(C136)=12,IF(DAY(C136)&lt;10,1.06,1.12),1))))))))))),0)</f>
        <v>376</v>
      </c>
    </row>
    <row r="137" customFormat="false" ht="15" hidden="false" customHeight="false" outlineLevel="0" collapsed="false">
      <c r="A137" s="0" t="n">
        <v>136</v>
      </c>
      <c r="B137" s="0" t="str">
        <f aca="false">B123</f>
        <v>SKU PROD D</v>
      </c>
      <c r="C137" s="2" t="n">
        <f aca="false">DATE(YEAR(C123),MONTH(C123)+1,DAY(C123))</f>
        <v>46312</v>
      </c>
      <c r="D137" s="0" t="n">
        <f aca="false">ROUNDUP(D123*IF(MONTH(C137)=2,IF(DAY(C137)&lt;15,1.05,1.075),IF(MONTH(C137)=3,IF(DAY(C137)&lt;20,0.98,1.015),IF(MONTH(C137)=4,IF(DAY(C137)&lt;17,1.025,0.95),IF(MONTH(C137)=5,IF(DAY(C137)&lt;22,0.95,1.05),IF(MONTH(C137)=6,0.95,IF(MONTH(C137)=7,IF(DAY(C137)&lt;10,1.15,0.95),IF(MONTH(C137)=8,IF(DAY(C137)&lt;25,0.85,1.03),IF(MONTH(C137)=9,IF(DAY(C137)&lt;25,0.85,1.03),IF(MONTH(C137)=10,IF(DAY(C137)&lt;11,0.9,0.95),IF(MONTH(C137)=11,IF(DAY(C137)&lt;13,1.12,1.06),IF(MONTH(C137)=12,IF(DAY(C137)&lt;10,1.06,1.12),1))))))))))),0)</f>
        <v>533</v>
      </c>
    </row>
    <row r="138" customFormat="false" ht="15" hidden="false" customHeight="false" outlineLevel="0" collapsed="false">
      <c r="A138" s="0" t="n">
        <v>137</v>
      </c>
      <c r="B138" s="0" t="str">
        <f aca="false">B124</f>
        <v>SKU PROD C</v>
      </c>
      <c r="C138" s="2" t="n">
        <f aca="false">DATE(YEAR(C124),MONTH(C124)+1,DAY(C124))</f>
        <v>46315</v>
      </c>
      <c r="D138" s="0" t="n">
        <f aca="false">ROUNDUP(D124*IF(MONTH(C138)=2,IF(DAY(C138)&lt;15,1.05,1.075),IF(MONTH(C138)=3,IF(DAY(C138)&lt;20,0.98,1.015),IF(MONTH(C138)=4,IF(DAY(C138)&lt;17,1.025,0.95),IF(MONTH(C138)=5,IF(DAY(C138)&lt;22,0.95,1.05),IF(MONTH(C138)=6,0.95,IF(MONTH(C138)=7,IF(DAY(C138)&lt;10,1.15,0.95),IF(MONTH(C138)=8,IF(DAY(C138)&lt;25,0.85,1.03),IF(MONTH(C138)=9,IF(DAY(C138)&lt;25,0.85,1.03),IF(MONTH(C138)=10,IF(DAY(C138)&lt;11,0.9,0.95),IF(MONTH(C138)=11,IF(DAY(C138)&lt;13,1.12,1.06),IF(MONTH(C138)=12,IF(DAY(C138)&lt;10,1.06,1.12),1))))))))))),0)</f>
        <v>491</v>
      </c>
    </row>
    <row r="139" customFormat="false" ht="15" hidden="false" customHeight="false" outlineLevel="0" collapsed="false">
      <c r="A139" s="0" t="n">
        <v>138</v>
      </c>
      <c r="B139" s="0" t="str">
        <f aca="false">B125</f>
        <v>SKU PROD A</v>
      </c>
      <c r="C139" s="2" t="n">
        <f aca="false">DATE(YEAR(C125),MONTH(C125)+1,DAY(C125))</f>
        <v>46319</v>
      </c>
      <c r="D139" s="0" t="n">
        <f aca="false">ROUNDUP(D125*IF(MONTH(C139)=2,IF(DAY(C139)&lt;15,1.05,1.075),IF(MONTH(C139)=3,IF(DAY(C139)&lt;20,0.98,1.015),IF(MONTH(C139)=4,IF(DAY(C139)&lt;17,1.025,0.95),IF(MONTH(C139)=5,IF(DAY(C139)&lt;22,0.95,1.05),IF(MONTH(C139)=6,0.95,IF(MONTH(C139)=7,IF(DAY(C139)&lt;10,1.15,0.95),IF(MONTH(C139)=8,IF(DAY(C139)&lt;25,0.85,1.03),IF(MONTH(C139)=9,IF(DAY(C139)&lt;25,0.85,1.03),IF(MONTH(C139)=10,IF(DAY(C139)&lt;11,0.9,0.95),IF(MONTH(C139)=11,IF(DAY(C139)&lt;13,1.12,1.06),IF(MONTH(C139)=12,IF(DAY(C139)&lt;10,1.06,1.12),1))))))))))),0)</f>
        <v>678</v>
      </c>
    </row>
    <row r="140" customFormat="false" ht="15" hidden="false" customHeight="false" outlineLevel="0" collapsed="false">
      <c r="A140" s="0" t="n">
        <v>139</v>
      </c>
      <c r="B140" s="0" t="str">
        <f aca="false">B126</f>
        <v>SKU PROD D</v>
      </c>
      <c r="C140" s="2" t="n">
        <f aca="false">DATE(YEAR(C126),MONTH(C126)+1,DAY(C126))</f>
        <v>46323</v>
      </c>
      <c r="D140" s="0" t="n">
        <f aca="false">ROUNDUP(D126*IF(MONTH(C140)=2,IF(DAY(C140)&lt;15,1.05,1.075),IF(MONTH(C140)=3,IF(DAY(C140)&lt;20,0.98,1.015),IF(MONTH(C140)=4,IF(DAY(C140)&lt;17,1.025,0.95),IF(MONTH(C140)=5,IF(DAY(C140)&lt;22,0.95,1.05),IF(MONTH(C140)=6,0.95,IF(MONTH(C140)=7,IF(DAY(C140)&lt;10,1.15,0.95),IF(MONTH(C140)=8,IF(DAY(C140)&lt;25,0.85,1.03),IF(MONTH(C140)=9,IF(DAY(C140)&lt;25,0.85,1.03),IF(MONTH(C140)=10,IF(DAY(C140)&lt;11,0.9,0.95),IF(MONTH(C140)=11,IF(DAY(C140)&lt;13,1.12,1.06),IF(MONTH(C140)=12,IF(DAY(C140)&lt;10,1.06,1.12),1))))))))))),0)</f>
        <v>2974</v>
      </c>
    </row>
    <row r="141" customFormat="false" ht="15" hidden="false" customHeight="false" outlineLevel="0" collapsed="false">
      <c r="A141" s="0" t="n">
        <v>140</v>
      </c>
      <c r="B141" s="0" t="str">
        <f aca="false">B127</f>
        <v>SKU PROD E</v>
      </c>
      <c r="C141" s="2" t="n">
        <f aca="false">DATE(YEAR(C127),MONTH(C127)+1,DAY(C127))</f>
        <v>46323</v>
      </c>
      <c r="D141" s="0" t="n">
        <f aca="false">ROUNDUP(D127*IF(MONTH(C141)=2,IF(DAY(C141)&lt;15,1.05,1.075),IF(MONTH(C141)=3,IF(DAY(C141)&lt;20,0.98,1.015),IF(MONTH(C141)=4,IF(DAY(C141)&lt;17,1.025,0.95),IF(MONTH(C141)=5,IF(DAY(C141)&lt;22,0.95,1.05),IF(MONTH(C141)=6,0.95,IF(MONTH(C141)=7,IF(DAY(C141)&lt;10,1.15,0.95),IF(MONTH(C141)=8,IF(DAY(C141)&lt;25,0.85,1.03),IF(MONTH(C141)=9,IF(DAY(C141)&lt;25,0.85,1.03),IF(MONTH(C141)=10,IF(DAY(C141)&lt;11,0.9,0.95),IF(MONTH(C141)=11,IF(DAY(C141)&lt;13,1.12,1.06),IF(MONTH(C141)=12,IF(DAY(C141)&lt;10,1.06,1.12),1))))))))))),0)</f>
        <v>1984</v>
      </c>
    </row>
    <row r="142" customFormat="false" ht="15" hidden="false" customHeight="false" outlineLevel="0" collapsed="false">
      <c r="A142" s="0" t="n">
        <v>141</v>
      </c>
      <c r="B142" s="0" t="str">
        <f aca="false">B128</f>
        <v>SKU PROD A</v>
      </c>
      <c r="C142" s="2" t="n">
        <f aca="false">DATE(YEAR(C128),MONTH(C128)+1,DAY(C128))</f>
        <v>46329</v>
      </c>
      <c r="D142" s="0" t="n">
        <f aca="false">ROUNDUP(D128*IF(MONTH(C142)=2,IF(DAY(C142)&lt;15,1.05,1.075),IF(MONTH(C142)=3,IF(DAY(C142)&lt;20,0.98,1.015),IF(MONTH(C142)=4,IF(DAY(C142)&lt;17,1.025,0.95),IF(MONTH(C142)=5,IF(DAY(C142)&lt;22,0.95,1.05),IF(MONTH(C142)=6,0.95,IF(MONTH(C142)=7,IF(DAY(C142)&lt;10,1.15,0.95),IF(MONTH(C142)=8,IF(DAY(C142)&lt;25,0.85,1.03),IF(MONTH(C142)=9,IF(DAY(C142)&lt;25,0.85,1.03),IF(MONTH(C142)=10,IF(DAY(C142)&lt;11,0.9,0.95),IF(MONTH(C142)=11,IF(DAY(C142)&lt;13,1.12,1.06),IF(MONTH(C142)=12,IF(DAY(C142)&lt;10,1.06,1.12),1))))))))))),0)</f>
        <v>800</v>
      </c>
    </row>
    <row r="143" customFormat="false" ht="15" hidden="false" customHeight="false" outlineLevel="0" collapsed="false">
      <c r="A143" s="0" t="n">
        <v>142</v>
      </c>
      <c r="B143" s="0" t="str">
        <f aca="false">B129</f>
        <v>SKU PROD B</v>
      </c>
      <c r="C143" s="2" t="n">
        <f aca="false">DATE(YEAR(C129),MONTH(C129)+1,DAY(C129))</f>
        <v>46329</v>
      </c>
      <c r="D143" s="0" t="n">
        <f aca="false">ROUNDUP(D129*IF(MONTH(C143)=2,IF(DAY(C143)&lt;15,1.05,1.075),IF(MONTH(C143)=3,IF(DAY(C143)&lt;20,0.98,1.015),IF(MONTH(C143)=4,IF(DAY(C143)&lt;17,1.025,0.95),IF(MONTH(C143)=5,IF(DAY(C143)&lt;22,0.95,1.05),IF(MONTH(C143)=6,0.95,IF(MONTH(C143)=7,IF(DAY(C143)&lt;10,1.15,0.95),IF(MONTH(C143)=8,IF(DAY(C143)&lt;25,0.85,1.03),IF(MONTH(C143)=9,IF(DAY(C143)&lt;25,0.85,1.03),IF(MONTH(C143)=10,IF(DAY(C143)&lt;11,0.9,0.95),IF(MONTH(C143)=11,IF(DAY(C143)&lt;13,1.12,1.06),IF(MONTH(C143)=12,IF(DAY(C143)&lt;10,1.06,1.12),1))))))))))),0)</f>
        <v>4787</v>
      </c>
    </row>
    <row r="144" customFormat="false" ht="15" hidden="false" customHeight="false" outlineLevel="0" collapsed="false">
      <c r="A144" s="0" t="n">
        <v>143</v>
      </c>
      <c r="B144" s="0" t="str">
        <f aca="false">B130</f>
        <v>SKU PROD A</v>
      </c>
      <c r="C144" s="2" t="n">
        <f aca="false">DATE(YEAR(C130),MONTH(C130)+1,DAY(C130))</f>
        <v>46330</v>
      </c>
      <c r="D144" s="0" t="n">
        <f aca="false">ROUNDUP(D130*IF(MONTH(C144)=2,IF(DAY(C144)&lt;15,1.05,1.075),IF(MONTH(C144)=3,IF(DAY(C144)&lt;20,0.98,1.015),IF(MONTH(C144)=4,IF(DAY(C144)&lt;17,1.025,0.95),IF(MONTH(C144)=5,IF(DAY(C144)&lt;22,0.95,1.05),IF(MONTH(C144)=6,0.95,IF(MONTH(C144)=7,IF(DAY(C144)&lt;10,1.15,0.95),IF(MONTH(C144)=8,IF(DAY(C144)&lt;25,0.85,1.03),IF(MONTH(C144)=9,IF(DAY(C144)&lt;25,0.85,1.03),IF(MONTH(C144)=10,IF(DAY(C144)&lt;11,0.9,0.95),IF(MONTH(C144)=11,IF(DAY(C144)&lt;13,1.12,1.06),IF(MONTH(C144)=12,IF(DAY(C144)&lt;10,1.06,1.12),1))))))))))),0)</f>
        <v>322</v>
      </c>
    </row>
    <row r="145" customFormat="false" ht="15" hidden="false" customHeight="false" outlineLevel="0" collapsed="false">
      <c r="A145" s="0" t="n">
        <v>144</v>
      </c>
      <c r="B145" s="0" t="str">
        <f aca="false">B131</f>
        <v>SKU PROD C</v>
      </c>
      <c r="C145" s="2" t="n">
        <f aca="false">DATE(YEAR(C131),MONTH(C131)+1,DAY(C131))</f>
        <v>46331</v>
      </c>
      <c r="D145" s="0" t="n">
        <f aca="false">ROUNDUP(D131*IF(MONTH(C145)=2,IF(DAY(C145)&lt;15,1.05,1.075),IF(MONTH(C145)=3,IF(DAY(C145)&lt;20,0.98,1.015),IF(MONTH(C145)=4,IF(DAY(C145)&lt;17,1.025,0.95),IF(MONTH(C145)=5,IF(DAY(C145)&lt;22,0.95,1.05),IF(MONTH(C145)=6,0.95,IF(MONTH(C145)=7,IF(DAY(C145)&lt;10,1.15,0.95),IF(MONTH(C145)=8,IF(DAY(C145)&lt;25,0.85,1.03),IF(MONTH(C145)=9,IF(DAY(C145)&lt;25,0.85,1.03),IF(MONTH(C145)=10,IF(DAY(C145)&lt;11,0.9,0.95),IF(MONTH(C145)=11,IF(DAY(C145)&lt;13,1.12,1.06),IF(MONTH(C145)=12,IF(DAY(C145)&lt;10,1.06,1.12),1))))))))))),0)</f>
        <v>721</v>
      </c>
    </row>
    <row r="146" customFormat="false" ht="15" hidden="false" customHeight="false" outlineLevel="0" collapsed="false">
      <c r="A146" s="0" t="n">
        <v>145</v>
      </c>
      <c r="B146" s="0" t="str">
        <f aca="false">B132</f>
        <v>SKU PROD D</v>
      </c>
      <c r="C146" s="2" t="n">
        <f aca="false">DATE(YEAR(C132),MONTH(C132)+1,DAY(C132))</f>
        <v>46332</v>
      </c>
      <c r="D146" s="0" t="n">
        <f aca="false">ROUNDUP(D132*IF(MONTH(C146)=2,IF(DAY(C146)&lt;15,1.05,1.075),IF(MONTH(C146)=3,IF(DAY(C146)&lt;20,0.98,1.015),IF(MONTH(C146)=4,IF(DAY(C146)&lt;17,1.025,0.95),IF(MONTH(C146)=5,IF(DAY(C146)&lt;22,0.95,1.05),IF(MONTH(C146)=6,0.95,IF(MONTH(C146)=7,IF(DAY(C146)&lt;10,1.15,0.95),IF(MONTH(C146)=8,IF(DAY(C146)&lt;25,0.85,1.03),IF(MONTH(C146)=9,IF(DAY(C146)&lt;25,0.85,1.03),IF(MONTH(C146)=10,IF(DAY(C146)&lt;11,0.9,0.95),IF(MONTH(C146)=11,IF(DAY(C146)&lt;13,1.12,1.06),IF(MONTH(C146)=12,IF(DAY(C146)&lt;10,1.06,1.12),1))))))))))),0)</f>
        <v>482</v>
      </c>
    </row>
    <row r="147" customFormat="false" ht="15" hidden="false" customHeight="false" outlineLevel="0" collapsed="false">
      <c r="A147" s="0" t="n">
        <v>146</v>
      </c>
      <c r="B147" s="0" t="str">
        <f aca="false">B133</f>
        <v>SKU PROD A</v>
      </c>
      <c r="C147" s="2" t="n">
        <f aca="false">DATE(YEAR(C133),MONTH(C133)+1,DAY(C133))</f>
        <v>46333</v>
      </c>
      <c r="D147" s="0" t="n">
        <f aca="false">ROUNDUP(D133*IF(MONTH(C147)=2,IF(DAY(C147)&lt;15,1.05,1.075),IF(MONTH(C147)=3,IF(DAY(C147)&lt;20,0.98,1.015),IF(MONTH(C147)=4,IF(DAY(C147)&lt;17,1.025,0.95),IF(MONTH(C147)=5,IF(DAY(C147)&lt;22,0.95,1.05),IF(MONTH(C147)=6,0.95,IF(MONTH(C147)=7,IF(DAY(C147)&lt;10,1.15,0.95),IF(MONTH(C147)=8,IF(DAY(C147)&lt;25,0.85,1.03),IF(MONTH(C147)=9,IF(DAY(C147)&lt;25,0.85,1.03),IF(MONTH(C147)=10,IF(DAY(C147)&lt;11,0.9,0.95),IF(MONTH(C147)=11,IF(DAY(C147)&lt;13,1.12,1.06),IF(MONTH(C147)=12,IF(DAY(C147)&lt;10,1.06,1.12),1))))))))))),0)</f>
        <v>800</v>
      </c>
    </row>
    <row r="148" customFormat="false" ht="15" hidden="false" customHeight="false" outlineLevel="0" collapsed="false">
      <c r="A148" s="0" t="n">
        <v>147</v>
      </c>
      <c r="B148" s="0" t="str">
        <f aca="false">B134</f>
        <v>SKU PROD C</v>
      </c>
      <c r="C148" s="2" t="n">
        <f aca="false">DATE(YEAR(C134),MONTH(C134)+1,DAY(C134))</f>
        <v>46335</v>
      </c>
      <c r="D148" s="0" t="n">
        <f aca="false">ROUNDUP(D134*IF(MONTH(C148)=2,IF(DAY(C148)&lt;15,1.05,1.075),IF(MONTH(C148)=3,IF(DAY(C148)&lt;20,0.98,1.015),IF(MONTH(C148)=4,IF(DAY(C148)&lt;17,1.025,0.95),IF(MONTH(C148)=5,IF(DAY(C148)&lt;22,0.95,1.05),IF(MONTH(C148)=6,0.95,IF(MONTH(C148)=7,IF(DAY(C148)&lt;10,1.15,0.95),IF(MONTH(C148)=8,IF(DAY(C148)&lt;25,0.85,1.03),IF(MONTH(C148)=9,IF(DAY(C148)&lt;25,0.85,1.03),IF(MONTH(C148)=10,IF(DAY(C148)&lt;11,0.9,0.95),IF(MONTH(C148)=11,IF(DAY(C148)&lt;13,1.12,1.06),IF(MONTH(C148)=12,IF(DAY(C148)&lt;10,1.06,1.12),1))))))))))),0)</f>
        <v>401</v>
      </c>
    </row>
    <row r="149" customFormat="false" ht="15" hidden="false" customHeight="false" outlineLevel="0" collapsed="false">
      <c r="A149" s="0" t="n">
        <v>148</v>
      </c>
      <c r="B149" s="0" t="str">
        <f aca="false">B135</f>
        <v>SKU PROD E</v>
      </c>
      <c r="C149" s="2" t="n">
        <f aca="false">DATE(YEAR(C135),MONTH(C135)+1,DAY(C135))</f>
        <v>46338</v>
      </c>
      <c r="D149" s="0" t="n">
        <f aca="false">ROUNDUP(D135*IF(MONTH(C149)=2,IF(DAY(C149)&lt;15,1.05,1.075),IF(MONTH(C149)=3,IF(DAY(C149)&lt;20,0.98,1.015),IF(MONTH(C149)=4,IF(DAY(C149)&lt;17,1.025,0.95),IF(MONTH(C149)=5,IF(DAY(C149)&lt;22,0.95,1.05),IF(MONTH(C149)=6,0.95,IF(MONTH(C149)=7,IF(DAY(C149)&lt;10,1.15,0.95),IF(MONTH(C149)=8,IF(DAY(C149)&lt;25,0.85,1.03),IF(MONTH(C149)=9,IF(DAY(C149)&lt;25,0.85,1.03),IF(MONTH(C149)=10,IF(DAY(C149)&lt;11,0.9,0.95),IF(MONTH(C149)=11,IF(DAY(C149)&lt;13,1.12,1.06),IF(MONTH(C149)=12,IF(DAY(C149)&lt;10,1.06,1.12),1))))))))))),0)</f>
        <v>280</v>
      </c>
    </row>
    <row r="150" customFormat="false" ht="15" hidden="false" customHeight="false" outlineLevel="0" collapsed="false">
      <c r="A150" s="0" t="n">
        <v>149</v>
      </c>
      <c r="B150" s="0" t="str">
        <f aca="false">B136</f>
        <v>SKU PROD B</v>
      </c>
      <c r="C150" s="2" t="n">
        <f aca="false">DATE(YEAR(C136),MONTH(C136)+1,DAY(C136))</f>
        <v>46339</v>
      </c>
      <c r="D150" s="0" t="n">
        <f aca="false">ROUNDUP(D136*IF(MONTH(C150)=2,IF(DAY(C150)&lt;15,1.05,1.075),IF(MONTH(C150)=3,IF(DAY(C150)&lt;20,0.98,1.015),IF(MONTH(C150)=4,IF(DAY(C150)&lt;17,1.025,0.95),IF(MONTH(C150)=5,IF(DAY(C150)&lt;22,0.95,1.05),IF(MONTH(C150)=6,0.95,IF(MONTH(C150)=7,IF(DAY(C150)&lt;10,1.15,0.95),IF(MONTH(C150)=8,IF(DAY(C150)&lt;25,0.85,1.03),IF(MONTH(C150)=9,IF(DAY(C150)&lt;25,0.85,1.03),IF(MONTH(C150)=10,IF(DAY(C150)&lt;11,0.9,0.95),IF(MONTH(C150)=11,IF(DAY(C150)&lt;13,1.12,1.06),IF(MONTH(C150)=12,IF(DAY(C150)&lt;10,1.06,1.12),1))))))))))),0)</f>
        <v>399</v>
      </c>
    </row>
    <row r="151" customFormat="false" ht="15" hidden="false" customHeight="false" outlineLevel="0" collapsed="false">
      <c r="A151" s="0" t="n">
        <v>150</v>
      </c>
      <c r="B151" s="0" t="str">
        <f aca="false">B137</f>
        <v>SKU PROD D</v>
      </c>
      <c r="C151" s="2" t="n">
        <f aca="false">DATE(YEAR(C137),MONTH(C137)+1,DAY(C137))</f>
        <v>46343</v>
      </c>
      <c r="D151" s="0" t="n">
        <f aca="false">ROUNDUP(D137*IF(MONTH(C151)=2,IF(DAY(C151)&lt;15,1.05,1.075),IF(MONTH(C151)=3,IF(DAY(C151)&lt;20,0.98,1.015),IF(MONTH(C151)=4,IF(DAY(C151)&lt;17,1.025,0.95),IF(MONTH(C151)=5,IF(DAY(C151)&lt;22,0.95,1.05),IF(MONTH(C151)=6,0.95,IF(MONTH(C151)=7,IF(DAY(C151)&lt;10,1.15,0.95),IF(MONTH(C151)=8,IF(DAY(C151)&lt;25,0.85,1.03),IF(MONTH(C151)=9,IF(DAY(C151)&lt;25,0.85,1.03),IF(MONTH(C151)=10,IF(DAY(C151)&lt;11,0.9,0.95),IF(MONTH(C151)=11,IF(DAY(C151)&lt;13,1.12,1.06),IF(MONTH(C151)=12,IF(DAY(C151)&lt;10,1.06,1.12),1))))))))))),0)</f>
        <v>565</v>
      </c>
    </row>
    <row r="152" customFormat="false" ht="15" hidden="false" customHeight="false" outlineLevel="0" collapsed="false">
      <c r="A152" s="0" t="n">
        <v>151</v>
      </c>
      <c r="B152" s="0" t="str">
        <f aca="false">B138</f>
        <v>SKU PROD C</v>
      </c>
      <c r="C152" s="2" t="n">
        <f aca="false">DATE(YEAR(C138),MONTH(C138)+1,DAY(C138))</f>
        <v>46346</v>
      </c>
      <c r="D152" s="0" t="n">
        <f aca="false">ROUNDUP(D138*IF(MONTH(C152)=2,IF(DAY(C152)&lt;15,1.05,1.075),IF(MONTH(C152)=3,IF(DAY(C152)&lt;20,0.98,1.015),IF(MONTH(C152)=4,IF(DAY(C152)&lt;17,1.025,0.95),IF(MONTH(C152)=5,IF(DAY(C152)&lt;22,0.95,1.05),IF(MONTH(C152)=6,0.95,IF(MONTH(C152)=7,IF(DAY(C152)&lt;10,1.15,0.95),IF(MONTH(C152)=8,IF(DAY(C152)&lt;25,0.85,1.03),IF(MONTH(C152)=9,IF(DAY(C152)&lt;25,0.85,1.03),IF(MONTH(C152)=10,IF(DAY(C152)&lt;11,0.9,0.95),IF(MONTH(C152)=11,IF(DAY(C152)&lt;13,1.12,1.06),IF(MONTH(C152)=12,IF(DAY(C152)&lt;10,1.06,1.12),1))))))))))),0)</f>
        <v>521</v>
      </c>
    </row>
    <row r="153" customFormat="false" ht="15" hidden="false" customHeight="false" outlineLevel="0" collapsed="false">
      <c r="A153" s="0" t="n">
        <v>152</v>
      </c>
      <c r="B153" s="0" t="str">
        <f aca="false">B139</f>
        <v>SKU PROD A</v>
      </c>
      <c r="C153" s="2" t="n">
        <f aca="false">DATE(YEAR(C139),MONTH(C139)+1,DAY(C139))</f>
        <v>46350</v>
      </c>
      <c r="D153" s="0" t="n">
        <f aca="false">ROUNDUP(D139*IF(MONTH(C153)=2,IF(DAY(C153)&lt;15,1.05,1.075),IF(MONTH(C153)=3,IF(DAY(C153)&lt;20,0.98,1.015),IF(MONTH(C153)=4,IF(DAY(C153)&lt;17,1.025,0.95),IF(MONTH(C153)=5,IF(DAY(C153)&lt;22,0.95,1.05),IF(MONTH(C153)=6,0.95,IF(MONTH(C153)=7,IF(DAY(C153)&lt;10,1.15,0.95),IF(MONTH(C153)=8,IF(DAY(C153)&lt;25,0.85,1.03),IF(MONTH(C153)=9,IF(DAY(C153)&lt;25,0.85,1.03),IF(MONTH(C153)=10,IF(DAY(C153)&lt;11,0.9,0.95),IF(MONTH(C153)=11,IF(DAY(C153)&lt;13,1.12,1.06),IF(MONTH(C153)=12,IF(DAY(C153)&lt;10,1.06,1.12),1))))))))))),0)</f>
        <v>719</v>
      </c>
    </row>
    <row r="154" customFormat="false" ht="15" hidden="false" customHeight="false" outlineLevel="0" collapsed="false">
      <c r="A154" s="0" t="n">
        <v>153</v>
      </c>
      <c r="B154" s="0" t="str">
        <f aca="false">B140</f>
        <v>SKU PROD D</v>
      </c>
      <c r="C154" s="2" t="n">
        <f aca="false">DATE(YEAR(C140),MONTH(C140)+1,DAY(C140))</f>
        <v>46354</v>
      </c>
      <c r="D154" s="0" t="n">
        <f aca="false">ROUNDUP(D140*IF(MONTH(C154)=2,IF(DAY(C154)&lt;15,1.05,1.075),IF(MONTH(C154)=3,IF(DAY(C154)&lt;20,0.98,1.015),IF(MONTH(C154)=4,IF(DAY(C154)&lt;17,1.025,0.95),IF(MONTH(C154)=5,IF(DAY(C154)&lt;22,0.95,1.05),IF(MONTH(C154)=6,0.95,IF(MONTH(C154)=7,IF(DAY(C154)&lt;10,1.15,0.95),IF(MONTH(C154)=8,IF(DAY(C154)&lt;25,0.85,1.03),IF(MONTH(C154)=9,IF(DAY(C154)&lt;25,0.85,1.03),IF(MONTH(C154)=10,IF(DAY(C154)&lt;11,0.9,0.95),IF(MONTH(C154)=11,IF(DAY(C154)&lt;13,1.12,1.06),IF(MONTH(C154)=12,IF(DAY(C154)&lt;10,1.06,1.12),1))))))))))),0)</f>
        <v>3153</v>
      </c>
    </row>
    <row r="155" customFormat="false" ht="15" hidden="false" customHeight="false" outlineLevel="0" collapsed="false">
      <c r="A155" s="0" t="n">
        <v>154</v>
      </c>
      <c r="B155" s="0" t="str">
        <f aca="false">B141</f>
        <v>SKU PROD E</v>
      </c>
      <c r="C155" s="2" t="n">
        <f aca="false">DATE(YEAR(C141),MONTH(C141)+1,DAY(C141))</f>
        <v>46354</v>
      </c>
      <c r="D155" s="0" t="n">
        <f aca="false">ROUNDUP(D141*IF(MONTH(C155)=2,IF(DAY(C155)&lt;15,1.05,1.075),IF(MONTH(C155)=3,IF(DAY(C155)&lt;20,0.98,1.015),IF(MONTH(C155)=4,IF(DAY(C155)&lt;17,1.025,0.95),IF(MONTH(C155)=5,IF(DAY(C155)&lt;22,0.95,1.05),IF(MONTH(C155)=6,0.95,IF(MONTH(C155)=7,IF(DAY(C155)&lt;10,1.15,0.95),IF(MONTH(C155)=8,IF(DAY(C155)&lt;25,0.85,1.03),IF(MONTH(C155)=9,IF(DAY(C155)&lt;25,0.85,1.03),IF(MONTH(C155)=10,IF(DAY(C155)&lt;11,0.9,0.95),IF(MONTH(C155)=11,IF(DAY(C155)&lt;13,1.12,1.06),IF(MONTH(C155)=12,IF(DAY(C155)&lt;10,1.06,1.12),1))))))))))),0)</f>
        <v>2104</v>
      </c>
    </row>
    <row r="156" customFormat="false" ht="15" hidden="false" customHeight="false" outlineLevel="0" collapsed="false">
      <c r="A156" s="0" t="n">
        <v>155</v>
      </c>
      <c r="B156" s="0" t="str">
        <f aca="false">B142</f>
        <v>SKU PROD A</v>
      </c>
      <c r="C156" s="2" t="n">
        <f aca="false">DATE(YEAR(C142),MONTH(C142)+1,DAY(C142))</f>
        <v>46359</v>
      </c>
      <c r="D156" s="0" t="n">
        <f aca="false">ROUNDUP(D142*IF(MONTH(C156)=2,IF(DAY(C156)&lt;15,1.05,1.075),IF(MONTH(C156)=3,IF(DAY(C156)&lt;20,0.98,1.015),IF(MONTH(C156)=4,IF(DAY(C156)&lt;17,1.025,0.95),IF(MONTH(C156)=5,IF(DAY(C156)&lt;22,0.95,1.05),IF(MONTH(C156)=6,0.95,IF(MONTH(C156)=7,IF(DAY(C156)&lt;10,1.15,0.95),IF(MONTH(C156)=8,IF(DAY(C156)&lt;25,0.85,1.03),IF(MONTH(C156)=9,IF(DAY(C156)&lt;25,0.85,1.03),IF(MONTH(C156)=10,IF(DAY(C156)&lt;11,0.9,0.95),IF(MONTH(C156)=11,IF(DAY(C156)&lt;13,1.12,1.06),IF(MONTH(C156)=12,IF(DAY(C156)&lt;10,1.06,1.12),1))))))))))),0)</f>
        <v>848</v>
      </c>
    </row>
    <row r="157" customFormat="false" ht="15" hidden="false" customHeight="false" outlineLevel="0" collapsed="false">
      <c r="A157" s="0" t="n">
        <v>156</v>
      </c>
      <c r="B157" s="0" t="str">
        <f aca="false">B143</f>
        <v>SKU PROD B</v>
      </c>
      <c r="C157" s="2" t="n">
        <f aca="false">DATE(YEAR(C143),MONTH(C143)+1,DAY(C143))</f>
        <v>46359</v>
      </c>
      <c r="D157" s="0" t="n">
        <f aca="false">ROUNDUP(D143*IF(MONTH(C157)=2,IF(DAY(C157)&lt;15,1.05,1.075),IF(MONTH(C157)=3,IF(DAY(C157)&lt;20,0.98,1.015),IF(MONTH(C157)=4,IF(DAY(C157)&lt;17,1.025,0.95),IF(MONTH(C157)=5,IF(DAY(C157)&lt;22,0.95,1.05),IF(MONTH(C157)=6,0.95,IF(MONTH(C157)=7,IF(DAY(C157)&lt;10,1.15,0.95),IF(MONTH(C157)=8,IF(DAY(C157)&lt;25,0.85,1.03),IF(MONTH(C157)=9,IF(DAY(C157)&lt;25,0.85,1.03),IF(MONTH(C157)=10,IF(DAY(C157)&lt;11,0.9,0.95),IF(MONTH(C157)=11,IF(DAY(C157)&lt;13,1.12,1.06),IF(MONTH(C157)=12,IF(DAY(C157)&lt;10,1.06,1.12),1))))))))))),0)</f>
        <v>5075</v>
      </c>
    </row>
    <row r="158" customFormat="false" ht="15" hidden="false" customHeight="false" outlineLevel="0" collapsed="false">
      <c r="A158" s="0" t="n">
        <v>157</v>
      </c>
      <c r="B158" s="0" t="str">
        <f aca="false">B144</f>
        <v>SKU PROD A</v>
      </c>
      <c r="C158" s="2" t="n">
        <f aca="false">DATE(YEAR(C144),MONTH(C144)+1,DAY(C144))</f>
        <v>46360</v>
      </c>
      <c r="D158" s="0" t="n">
        <f aca="false">ROUNDUP(D144*IF(MONTH(C158)=2,IF(DAY(C158)&lt;15,1.05,1.075),IF(MONTH(C158)=3,IF(DAY(C158)&lt;20,0.98,1.015),IF(MONTH(C158)=4,IF(DAY(C158)&lt;17,1.025,0.95),IF(MONTH(C158)=5,IF(DAY(C158)&lt;22,0.95,1.05),IF(MONTH(C158)=6,0.95,IF(MONTH(C158)=7,IF(DAY(C158)&lt;10,1.15,0.95),IF(MONTH(C158)=8,IF(DAY(C158)&lt;25,0.85,1.03),IF(MONTH(C158)=9,IF(DAY(C158)&lt;25,0.85,1.03),IF(MONTH(C158)=10,IF(DAY(C158)&lt;11,0.9,0.95),IF(MONTH(C158)=11,IF(DAY(C158)&lt;13,1.12,1.06),IF(MONTH(C158)=12,IF(DAY(C158)&lt;10,1.06,1.12),1))))))))))),0)</f>
        <v>342</v>
      </c>
    </row>
    <row r="159" customFormat="false" ht="15" hidden="false" customHeight="false" outlineLevel="0" collapsed="false">
      <c r="A159" s="0" t="n">
        <v>158</v>
      </c>
      <c r="B159" s="0" t="str">
        <f aca="false">B145</f>
        <v>SKU PROD C</v>
      </c>
      <c r="C159" s="2" t="n">
        <f aca="false">DATE(YEAR(C145),MONTH(C145)+1,DAY(C145))</f>
        <v>46361</v>
      </c>
      <c r="D159" s="0" t="n">
        <f aca="false">ROUNDUP(D145*IF(MONTH(C159)=2,IF(DAY(C159)&lt;15,1.05,1.075),IF(MONTH(C159)=3,IF(DAY(C159)&lt;20,0.98,1.015),IF(MONTH(C159)=4,IF(DAY(C159)&lt;17,1.025,0.95),IF(MONTH(C159)=5,IF(DAY(C159)&lt;22,0.95,1.05),IF(MONTH(C159)=6,0.95,IF(MONTH(C159)=7,IF(DAY(C159)&lt;10,1.15,0.95),IF(MONTH(C159)=8,IF(DAY(C159)&lt;25,0.85,1.03),IF(MONTH(C159)=9,IF(DAY(C159)&lt;25,0.85,1.03),IF(MONTH(C159)=10,IF(DAY(C159)&lt;11,0.9,0.95),IF(MONTH(C159)=11,IF(DAY(C159)&lt;13,1.12,1.06),IF(MONTH(C159)=12,IF(DAY(C159)&lt;10,1.06,1.12),1))))))))))),0)</f>
        <v>765</v>
      </c>
    </row>
    <row r="160" customFormat="false" ht="15" hidden="false" customHeight="false" outlineLevel="0" collapsed="false">
      <c r="A160" s="0" t="n">
        <v>159</v>
      </c>
      <c r="B160" s="0" t="str">
        <f aca="false">B146</f>
        <v>SKU PROD D</v>
      </c>
      <c r="C160" s="2" t="n">
        <f aca="false">DATE(YEAR(C146),MONTH(C146)+1,DAY(C146))</f>
        <v>46362</v>
      </c>
      <c r="D160" s="0" t="n">
        <f aca="false">ROUNDUP(D146*IF(MONTH(C160)=2,IF(DAY(C160)&lt;15,1.05,1.075),IF(MONTH(C160)=3,IF(DAY(C160)&lt;20,0.98,1.015),IF(MONTH(C160)=4,IF(DAY(C160)&lt;17,1.025,0.95),IF(MONTH(C160)=5,IF(DAY(C160)&lt;22,0.95,1.05),IF(MONTH(C160)=6,0.95,IF(MONTH(C160)=7,IF(DAY(C160)&lt;10,1.15,0.95),IF(MONTH(C160)=8,IF(DAY(C160)&lt;25,0.85,1.03),IF(MONTH(C160)=9,IF(DAY(C160)&lt;25,0.85,1.03),IF(MONTH(C160)=10,IF(DAY(C160)&lt;11,0.9,0.95),IF(MONTH(C160)=11,IF(DAY(C160)&lt;13,1.12,1.06),IF(MONTH(C160)=12,IF(DAY(C160)&lt;10,1.06,1.12),1))))))))))),0)</f>
        <v>511</v>
      </c>
    </row>
    <row r="161" customFormat="false" ht="15" hidden="false" customHeight="false" outlineLevel="0" collapsed="false">
      <c r="A161" s="0" t="n">
        <v>160</v>
      </c>
      <c r="B161" s="0" t="str">
        <f aca="false">B147</f>
        <v>SKU PROD A</v>
      </c>
      <c r="C161" s="2" t="n">
        <f aca="false">DATE(YEAR(C147),MONTH(C147)+1,DAY(C147))</f>
        <v>46363</v>
      </c>
      <c r="D161" s="0" t="n">
        <f aca="false">ROUNDUP(D147*IF(MONTH(C161)=2,IF(DAY(C161)&lt;15,1.05,1.075),IF(MONTH(C161)=3,IF(DAY(C161)&lt;20,0.98,1.015),IF(MONTH(C161)=4,IF(DAY(C161)&lt;17,1.025,0.95),IF(MONTH(C161)=5,IF(DAY(C161)&lt;22,0.95,1.05),IF(MONTH(C161)=6,0.95,IF(MONTH(C161)=7,IF(DAY(C161)&lt;10,1.15,0.95),IF(MONTH(C161)=8,IF(DAY(C161)&lt;25,0.85,1.03),IF(MONTH(C161)=9,IF(DAY(C161)&lt;25,0.85,1.03),IF(MONTH(C161)=10,IF(DAY(C161)&lt;11,0.9,0.95),IF(MONTH(C161)=11,IF(DAY(C161)&lt;13,1.12,1.06),IF(MONTH(C161)=12,IF(DAY(C161)&lt;10,1.06,1.12),1))))))))))),0)</f>
        <v>848</v>
      </c>
    </row>
    <row r="162" customFormat="false" ht="15" hidden="false" customHeight="false" outlineLevel="0" collapsed="false">
      <c r="A162" s="0" t="n">
        <v>161</v>
      </c>
      <c r="B162" s="0" t="str">
        <f aca="false">B148</f>
        <v>SKU PROD C</v>
      </c>
      <c r="C162" s="2" t="n">
        <f aca="false">DATE(YEAR(C148),MONTH(C148)+1,DAY(C148))</f>
        <v>46365</v>
      </c>
      <c r="D162" s="0" t="n">
        <f aca="false">ROUNDUP(D148*IF(MONTH(C162)=2,IF(DAY(C162)&lt;15,1.05,1.075),IF(MONTH(C162)=3,IF(DAY(C162)&lt;20,0.98,1.015),IF(MONTH(C162)=4,IF(DAY(C162)&lt;17,1.025,0.95),IF(MONTH(C162)=5,IF(DAY(C162)&lt;22,0.95,1.05),IF(MONTH(C162)=6,0.95,IF(MONTH(C162)=7,IF(DAY(C162)&lt;10,1.15,0.95),IF(MONTH(C162)=8,IF(DAY(C162)&lt;25,0.85,1.03),IF(MONTH(C162)=9,IF(DAY(C162)&lt;25,0.85,1.03),IF(MONTH(C162)=10,IF(DAY(C162)&lt;11,0.9,0.95),IF(MONTH(C162)=11,IF(DAY(C162)&lt;13,1.12,1.06),IF(MONTH(C162)=12,IF(DAY(C162)&lt;10,1.06,1.12),1))))))))))),0)</f>
        <v>426</v>
      </c>
    </row>
    <row r="163" customFormat="false" ht="15" hidden="false" customHeight="false" outlineLevel="0" collapsed="false">
      <c r="A163" s="0" t="n">
        <v>162</v>
      </c>
      <c r="B163" s="0" t="str">
        <f aca="false">B149</f>
        <v>SKU PROD E</v>
      </c>
      <c r="C163" s="2" t="n">
        <f aca="false">DATE(YEAR(C149),MONTH(C149)+1,DAY(C149))</f>
        <v>46368</v>
      </c>
      <c r="D163" s="0" t="n">
        <f aca="false">ROUNDUP(D149*IF(MONTH(C163)=2,IF(DAY(C163)&lt;15,1.05,1.075),IF(MONTH(C163)=3,IF(DAY(C163)&lt;20,0.98,1.015),IF(MONTH(C163)=4,IF(DAY(C163)&lt;17,1.025,0.95),IF(MONTH(C163)=5,IF(DAY(C163)&lt;22,0.95,1.05),IF(MONTH(C163)=6,0.95,IF(MONTH(C163)=7,IF(DAY(C163)&lt;10,1.15,0.95),IF(MONTH(C163)=8,IF(DAY(C163)&lt;25,0.85,1.03),IF(MONTH(C163)=9,IF(DAY(C163)&lt;25,0.85,1.03),IF(MONTH(C163)=10,IF(DAY(C163)&lt;11,0.9,0.95),IF(MONTH(C163)=11,IF(DAY(C163)&lt;13,1.12,1.06),IF(MONTH(C163)=12,IF(DAY(C163)&lt;10,1.06,1.12),1))))))))))),0)</f>
        <v>314</v>
      </c>
    </row>
    <row r="164" customFormat="false" ht="15" hidden="false" customHeight="false" outlineLevel="0" collapsed="false">
      <c r="A164" s="0" t="n">
        <v>163</v>
      </c>
      <c r="B164" s="0" t="str">
        <f aca="false">B150</f>
        <v>SKU PROD B</v>
      </c>
      <c r="C164" s="2" t="n">
        <f aca="false">DATE(YEAR(C150),MONTH(C150)+1,DAY(C150))</f>
        <v>46369</v>
      </c>
      <c r="D164" s="0" t="n">
        <f aca="false">ROUNDUP(D150*IF(MONTH(C164)=2,IF(DAY(C164)&lt;15,1.05,1.075),IF(MONTH(C164)=3,IF(DAY(C164)&lt;20,0.98,1.015),IF(MONTH(C164)=4,IF(DAY(C164)&lt;17,1.025,0.95),IF(MONTH(C164)=5,IF(DAY(C164)&lt;22,0.95,1.05),IF(MONTH(C164)=6,0.95,IF(MONTH(C164)=7,IF(DAY(C164)&lt;10,1.15,0.95),IF(MONTH(C164)=8,IF(DAY(C164)&lt;25,0.85,1.03),IF(MONTH(C164)=9,IF(DAY(C164)&lt;25,0.85,1.03),IF(MONTH(C164)=10,IF(DAY(C164)&lt;11,0.9,0.95),IF(MONTH(C164)=11,IF(DAY(C164)&lt;13,1.12,1.06),IF(MONTH(C164)=12,IF(DAY(C164)&lt;10,1.06,1.12),1))))))))))),0)</f>
        <v>447</v>
      </c>
    </row>
    <row r="165" customFormat="false" ht="15" hidden="false" customHeight="false" outlineLevel="0" collapsed="false">
      <c r="A165" s="0" t="n">
        <v>164</v>
      </c>
      <c r="B165" s="0" t="str">
        <f aca="false">B151</f>
        <v>SKU PROD D</v>
      </c>
      <c r="C165" s="2" t="n">
        <f aca="false">DATE(YEAR(C151),MONTH(C151)+1,DAY(C151))</f>
        <v>46373</v>
      </c>
      <c r="D165" s="0" t="n">
        <f aca="false">ROUNDUP(D151*IF(MONTH(C165)=2,IF(DAY(C165)&lt;15,1.05,1.075),IF(MONTH(C165)=3,IF(DAY(C165)&lt;20,0.98,1.015),IF(MONTH(C165)=4,IF(DAY(C165)&lt;17,1.025,0.95),IF(MONTH(C165)=5,IF(DAY(C165)&lt;22,0.95,1.05),IF(MONTH(C165)=6,0.95,IF(MONTH(C165)=7,IF(DAY(C165)&lt;10,1.15,0.95),IF(MONTH(C165)=8,IF(DAY(C165)&lt;25,0.85,1.03),IF(MONTH(C165)=9,IF(DAY(C165)&lt;25,0.85,1.03),IF(MONTH(C165)=10,IF(DAY(C165)&lt;11,0.9,0.95),IF(MONTH(C165)=11,IF(DAY(C165)&lt;13,1.12,1.06),IF(MONTH(C165)=12,IF(DAY(C165)&lt;10,1.06,1.12),1))))))))))),0)</f>
        <v>633</v>
      </c>
    </row>
    <row r="166" customFormat="false" ht="15" hidden="false" customHeight="false" outlineLevel="0" collapsed="false">
      <c r="A166" s="0" t="n">
        <v>165</v>
      </c>
      <c r="B166" s="0" t="str">
        <f aca="false">B152</f>
        <v>SKU PROD C</v>
      </c>
      <c r="C166" s="2" t="n">
        <f aca="false">DATE(YEAR(C152),MONTH(C152)+1,DAY(C152))</f>
        <v>46376</v>
      </c>
      <c r="D166" s="0" t="n">
        <f aca="false">ROUNDUP(D152*IF(MONTH(C166)=2,IF(DAY(C166)&lt;15,1.05,1.075),IF(MONTH(C166)=3,IF(DAY(C166)&lt;20,0.98,1.015),IF(MONTH(C166)=4,IF(DAY(C166)&lt;17,1.025,0.95),IF(MONTH(C166)=5,IF(DAY(C166)&lt;22,0.95,1.05),IF(MONTH(C166)=6,0.95,IF(MONTH(C166)=7,IF(DAY(C166)&lt;10,1.15,0.95),IF(MONTH(C166)=8,IF(DAY(C166)&lt;25,0.85,1.03),IF(MONTH(C166)=9,IF(DAY(C166)&lt;25,0.85,1.03),IF(MONTH(C166)=10,IF(DAY(C166)&lt;11,0.9,0.95),IF(MONTH(C166)=11,IF(DAY(C166)&lt;13,1.12,1.06),IF(MONTH(C166)=12,IF(DAY(C166)&lt;10,1.06,1.12),1))))))))))),0)</f>
        <v>584</v>
      </c>
    </row>
    <row r="167" customFormat="false" ht="15" hidden="false" customHeight="false" outlineLevel="0" collapsed="false">
      <c r="A167" s="0" t="n">
        <v>166</v>
      </c>
      <c r="B167" s="0" t="str">
        <f aca="false">B153</f>
        <v>SKU PROD A</v>
      </c>
      <c r="C167" s="2" t="n">
        <f aca="false">DATE(YEAR(C153),MONTH(C153)+1,DAY(C153))</f>
        <v>46380</v>
      </c>
      <c r="D167" s="0" t="n">
        <f aca="false">ROUNDUP(D153*IF(MONTH(C167)=2,IF(DAY(C167)&lt;15,1.05,1.075),IF(MONTH(C167)=3,IF(DAY(C167)&lt;20,0.98,1.015),IF(MONTH(C167)=4,IF(DAY(C167)&lt;17,1.025,0.95),IF(MONTH(C167)=5,IF(DAY(C167)&lt;22,0.95,1.05),IF(MONTH(C167)=6,0.95,IF(MONTH(C167)=7,IF(DAY(C167)&lt;10,1.15,0.95),IF(MONTH(C167)=8,IF(DAY(C167)&lt;25,0.85,1.03),IF(MONTH(C167)=9,IF(DAY(C167)&lt;25,0.85,1.03),IF(MONTH(C167)=10,IF(DAY(C167)&lt;11,0.9,0.95),IF(MONTH(C167)=11,IF(DAY(C167)&lt;13,1.12,1.06),IF(MONTH(C167)=12,IF(DAY(C167)&lt;10,1.06,1.12),1))))))))))),0)</f>
        <v>806</v>
      </c>
    </row>
    <row r="168" customFormat="false" ht="15" hidden="false" customHeight="false" outlineLevel="0" collapsed="false">
      <c r="A168" s="0" t="n">
        <v>167</v>
      </c>
      <c r="B168" s="0" t="str">
        <f aca="false">B154</f>
        <v>SKU PROD D</v>
      </c>
      <c r="C168" s="2" t="n">
        <f aca="false">DATE(YEAR(C154),MONTH(C154)+1,DAY(C154))</f>
        <v>46384</v>
      </c>
      <c r="D168" s="0" t="n">
        <f aca="false">ROUNDUP(D154*IF(MONTH(C168)=2,IF(DAY(C168)&lt;15,1.05,1.075),IF(MONTH(C168)=3,IF(DAY(C168)&lt;20,0.98,1.015),IF(MONTH(C168)=4,IF(DAY(C168)&lt;17,1.025,0.95),IF(MONTH(C168)=5,IF(DAY(C168)&lt;22,0.95,1.05),IF(MONTH(C168)=6,0.95,IF(MONTH(C168)=7,IF(DAY(C168)&lt;10,1.15,0.95),IF(MONTH(C168)=8,IF(DAY(C168)&lt;25,0.85,1.03),IF(MONTH(C168)=9,IF(DAY(C168)&lt;25,0.85,1.03),IF(MONTH(C168)=10,IF(DAY(C168)&lt;11,0.9,0.95),IF(MONTH(C168)=11,IF(DAY(C168)&lt;13,1.12,1.06),IF(MONTH(C168)=12,IF(DAY(C168)&lt;10,1.06,1.12),1))))))))))),0)</f>
        <v>3532</v>
      </c>
    </row>
    <row r="169" customFormat="false" ht="15" hidden="false" customHeight="false" outlineLevel="0" collapsed="false">
      <c r="A169" s="0" t="n">
        <v>168</v>
      </c>
      <c r="B169" s="0" t="str">
        <f aca="false">B155</f>
        <v>SKU PROD E</v>
      </c>
      <c r="C169" s="2" t="n">
        <f aca="false">DATE(YEAR(C155),MONTH(C155)+1,DAY(C155))</f>
        <v>46384</v>
      </c>
      <c r="D169" s="0" t="n">
        <f aca="false">ROUNDUP(D155*IF(MONTH(C169)=2,IF(DAY(C169)&lt;15,1.05,1.075),IF(MONTH(C169)=3,IF(DAY(C169)&lt;20,0.98,1.015),IF(MONTH(C169)=4,IF(DAY(C169)&lt;17,1.025,0.95),IF(MONTH(C169)=5,IF(DAY(C169)&lt;22,0.95,1.05),IF(MONTH(C169)=6,0.95,IF(MONTH(C169)=7,IF(DAY(C169)&lt;10,1.15,0.95),IF(MONTH(C169)=8,IF(DAY(C169)&lt;25,0.85,1.03),IF(MONTH(C169)=9,IF(DAY(C169)&lt;25,0.85,1.03),IF(MONTH(C169)=10,IF(DAY(C169)&lt;11,0.9,0.95),IF(MONTH(C169)=11,IF(DAY(C169)&lt;13,1.12,1.06),IF(MONTH(C169)=12,IF(DAY(C169)&lt;10,1.06,1.12),1))))))))))),0)</f>
        <v>2357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</row>
    <row r="2" customFormat="false" ht="15" hidden="false" customHeight="false" outlineLevel="0" collapsed="false">
      <c r="A2" s="0" t="n">
        <v>1</v>
      </c>
      <c r="B2" s="0" t="s">
        <v>4</v>
      </c>
      <c r="C2" s="2" t="n">
        <v>46023</v>
      </c>
      <c r="D2" s="0" t="n">
        <v>2200</v>
      </c>
      <c r="E2" s="0" t="s">
        <v>16</v>
      </c>
      <c r="F2" s="2" t="n">
        <f aca="false">C2</f>
        <v>46023</v>
      </c>
      <c r="G2" s="3" t="n">
        <f aca="false">ROUND((SUMIFS($D$2:$D$70,$B$2:$B$70,Capacity!$A$3,$F$2:$F$70,"&lt;="&amp;F2)-SUMIFS('Demand Projection'!$D$2:$D$169,'Demand Projection'!$B$2:$B$169,Capacity!$A$3,'Demand Projection'!$C$2:$C$169,"&lt;="&amp;F2))/Capacity!$B$3+(SUMIFS($D$2:$D$70,$B$2:$B$70,Capacity!$A$4,$F$2:$F$70,"&lt;="&amp;F2)-SUMIFS('Demand Projection'!$D$2:$D$169,'Demand Projection'!$B$2:$B$169,Capacity!$A$4,'Demand Projection'!$C$2:$C$169,"&lt;="&amp;F2))/Capacity!$B$4+(SUMIFS($D$2:$D$70,$B$2:$B$70,Capacity!$A$5,$F$2:$F$70,"&lt;="&amp;F2)-SUMIFS('Demand Projection'!$D$2:$D$169,'Demand Projection'!$B$2:$B$169,Capacity!$A$5,'Demand Projection'!$C$2:$C$169,"&lt;="&amp;F2))/Capacity!$B$5+(SUMIFS($D$2:$D$70,$B$2:$B$70,Capacity!$A$6,$F$2:$F$70,"&lt;="&amp;F2)-SUMIFS('Demand Projection'!$D$2:$D$169,'Demand Projection'!$B$2:$B$169,Capacity!$A$6,'Demand Projection'!$C$2:$C$169,"&lt;="&amp;F2))/Capacity!$B$6+(SUMIFS($D$2:$D$70,$B$2:$B$70,Capacity!$A$7,$F$2:$F$70,"&lt;="&amp;F2)-SUMIFS('Demand Projection'!$D$2:$D$169,'Demand Projection'!$B$2:$B$169,Capacity!$A$7,'Demand Projection'!$C$2:$C$169,"&lt;="&amp;F2))/Capacity!$B$7,2)</f>
        <v>1.21</v>
      </c>
    </row>
    <row r="3" customFormat="false" ht="15" hidden="false" customHeight="false" outlineLevel="0" collapsed="false">
      <c r="A3" s="0" t="n">
        <v>2</v>
      </c>
      <c r="B3" s="0" t="s">
        <v>5</v>
      </c>
      <c r="C3" s="2" t="n">
        <v>46023</v>
      </c>
      <c r="D3" s="0" t="n">
        <v>8000</v>
      </c>
      <c r="E3" s="0" t="s">
        <v>16</v>
      </c>
      <c r="F3" s="2" t="n">
        <f aca="false">C3</f>
        <v>46023</v>
      </c>
      <c r="G3" s="3" t="n">
        <f aca="false">ROUND((SUMIFS($D$2:$D$70,$B$2:$B$70,Capacity!$A$3,$F$2:$F$70,"&lt;="&amp;F3)-SUMIFS('Demand Projection'!$D$2:$D$169,'Demand Projection'!$B$2:$B$169,Capacity!$A$3,'Demand Projection'!$C$2:$C$169,"&lt;="&amp;F3))/Capacity!$B$3+(SUMIFS($D$2:$D$70,$B$2:$B$70,Capacity!$A$4,$F$2:$F$70,"&lt;="&amp;F3)-SUMIFS('Demand Projection'!$D$2:$D$169,'Demand Projection'!$B$2:$B$169,Capacity!$A$4,'Demand Projection'!$C$2:$C$169,"&lt;="&amp;F3))/Capacity!$B$4+(SUMIFS($D$2:$D$70,$B$2:$B$70,Capacity!$A$5,$F$2:$F$70,"&lt;="&amp;F3)-SUMIFS('Demand Projection'!$D$2:$D$169,'Demand Projection'!$B$2:$B$169,Capacity!$A$5,'Demand Projection'!$C$2:$C$169,"&lt;="&amp;F3))/Capacity!$B$5+(SUMIFS($D$2:$D$70,$B$2:$B$70,Capacity!$A$6,$F$2:$F$70,"&lt;="&amp;F3)-SUMIFS('Demand Projection'!$D$2:$D$169,'Demand Projection'!$B$2:$B$169,Capacity!$A$6,'Demand Projection'!$C$2:$C$169,"&lt;="&amp;F3))/Capacity!$B$6+(SUMIFS($D$2:$D$70,$B$2:$B$70,Capacity!$A$7,$F$2:$F$70,"&lt;="&amp;F3)-SUMIFS('Demand Projection'!$D$2:$D$169,'Demand Projection'!$B$2:$B$169,Capacity!$A$7,'Demand Projection'!$C$2:$C$169,"&lt;="&amp;F3))/Capacity!$B$7,2)</f>
        <v>1.21</v>
      </c>
    </row>
    <row r="4" customFormat="false" ht="15" hidden="false" customHeight="false" outlineLevel="0" collapsed="false">
      <c r="A4" s="0" t="n">
        <v>3</v>
      </c>
      <c r="B4" s="0" t="s">
        <v>6</v>
      </c>
      <c r="C4" s="2" t="n">
        <v>46023</v>
      </c>
      <c r="D4" s="0" t="n">
        <v>1700</v>
      </c>
      <c r="E4" s="0" t="s">
        <v>16</v>
      </c>
      <c r="F4" s="2" t="n">
        <f aca="false">C4</f>
        <v>46023</v>
      </c>
      <c r="G4" s="3" t="n">
        <f aca="false">ROUND((SUMIFS($D$2:$D$70,$B$2:$B$70,Capacity!$A$3,$F$2:$F$70,"&lt;="&amp;F4)-SUMIFS('Demand Projection'!$D$2:$D$169,'Demand Projection'!$B$2:$B$169,Capacity!$A$3,'Demand Projection'!$C$2:$C$169,"&lt;="&amp;F4))/Capacity!$B$3+(SUMIFS($D$2:$D$70,$B$2:$B$70,Capacity!$A$4,$F$2:$F$70,"&lt;="&amp;F4)-SUMIFS('Demand Projection'!$D$2:$D$169,'Demand Projection'!$B$2:$B$169,Capacity!$A$4,'Demand Projection'!$C$2:$C$169,"&lt;="&amp;F4))/Capacity!$B$4+(SUMIFS($D$2:$D$70,$B$2:$B$70,Capacity!$A$5,$F$2:$F$70,"&lt;="&amp;F4)-SUMIFS('Demand Projection'!$D$2:$D$169,'Demand Projection'!$B$2:$B$169,Capacity!$A$5,'Demand Projection'!$C$2:$C$169,"&lt;="&amp;F4))/Capacity!$B$5+(SUMIFS($D$2:$D$70,$B$2:$B$70,Capacity!$A$6,$F$2:$F$70,"&lt;="&amp;F4)-SUMIFS('Demand Projection'!$D$2:$D$169,'Demand Projection'!$B$2:$B$169,Capacity!$A$6,'Demand Projection'!$C$2:$C$169,"&lt;="&amp;F4))/Capacity!$B$6+(SUMIFS($D$2:$D$70,$B$2:$B$70,Capacity!$A$7,$F$2:$F$70,"&lt;="&amp;F4)-SUMIFS('Demand Projection'!$D$2:$D$169,'Demand Projection'!$B$2:$B$169,Capacity!$A$7,'Demand Projection'!$C$2:$C$169,"&lt;="&amp;F4))/Capacity!$B$7,2)</f>
        <v>1.21</v>
      </c>
    </row>
    <row r="5" customFormat="false" ht="15" hidden="false" customHeight="false" outlineLevel="0" collapsed="false">
      <c r="A5" s="0" t="n">
        <v>4</v>
      </c>
      <c r="B5" s="0" t="s">
        <v>7</v>
      </c>
      <c r="C5" s="2" t="n">
        <v>46023</v>
      </c>
      <c r="D5" s="0" t="n">
        <v>3500</v>
      </c>
      <c r="E5" s="0" t="s">
        <v>16</v>
      </c>
      <c r="F5" s="2" t="n">
        <f aca="false">C5</f>
        <v>46023</v>
      </c>
      <c r="G5" s="3" t="n">
        <f aca="false">ROUND((SUMIFS($D$2:$D$70,$B$2:$B$70,Capacity!$A$3,$F$2:$F$70,"&lt;="&amp;F5)-SUMIFS('Demand Projection'!$D$2:$D$169,'Demand Projection'!$B$2:$B$169,Capacity!$A$3,'Demand Projection'!$C$2:$C$169,"&lt;="&amp;F5))/Capacity!$B$3+(SUMIFS($D$2:$D$70,$B$2:$B$70,Capacity!$A$4,$F$2:$F$70,"&lt;="&amp;F5)-SUMIFS('Demand Projection'!$D$2:$D$169,'Demand Projection'!$B$2:$B$169,Capacity!$A$4,'Demand Projection'!$C$2:$C$169,"&lt;="&amp;F5))/Capacity!$B$4+(SUMIFS($D$2:$D$70,$B$2:$B$70,Capacity!$A$5,$F$2:$F$70,"&lt;="&amp;F5)-SUMIFS('Demand Projection'!$D$2:$D$169,'Demand Projection'!$B$2:$B$169,Capacity!$A$5,'Demand Projection'!$C$2:$C$169,"&lt;="&amp;F5))/Capacity!$B$5+(SUMIFS($D$2:$D$70,$B$2:$B$70,Capacity!$A$6,$F$2:$F$70,"&lt;="&amp;F5)-SUMIFS('Demand Projection'!$D$2:$D$169,'Demand Projection'!$B$2:$B$169,Capacity!$A$6,'Demand Projection'!$C$2:$C$169,"&lt;="&amp;F5))/Capacity!$B$6+(SUMIFS($D$2:$D$70,$B$2:$B$70,Capacity!$A$7,$F$2:$F$70,"&lt;="&amp;F5)-SUMIFS('Demand Projection'!$D$2:$D$169,'Demand Projection'!$B$2:$B$169,Capacity!$A$7,'Demand Projection'!$C$2:$C$169,"&lt;="&amp;F5))/Capacity!$B$7,2)</f>
        <v>1.21</v>
      </c>
    </row>
    <row r="6" customFormat="false" ht="15" hidden="false" customHeight="false" outlineLevel="0" collapsed="false">
      <c r="A6" s="0" t="n">
        <v>5</v>
      </c>
      <c r="B6" s="0" t="s">
        <v>8</v>
      </c>
      <c r="C6" s="2" t="n">
        <v>46023</v>
      </c>
      <c r="D6" s="0" t="n">
        <v>2300</v>
      </c>
      <c r="E6" s="0" t="s">
        <v>16</v>
      </c>
      <c r="F6" s="2" t="n">
        <f aca="false">C6</f>
        <v>46023</v>
      </c>
      <c r="G6" s="3" t="n">
        <f aca="false">ROUND((SUMIFS($D$2:$D$70,$B$2:$B$70,Capacity!$A$3,$F$2:$F$70,"&lt;="&amp;F6)-SUMIFS('Demand Projection'!$D$2:$D$169,'Demand Projection'!$B$2:$B$169,Capacity!$A$3,'Demand Projection'!$C$2:$C$169,"&lt;="&amp;F6))/Capacity!$B$3+(SUMIFS($D$2:$D$70,$B$2:$B$70,Capacity!$A$4,$F$2:$F$70,"&lt;="&amp;F6)-SUMIFS('Demand Projection'!$D$2:$D$169,'Demand Projection'!$B$2:$B$169,Capacity!$A$4,'Demand Projection'!$C$2:$C$169,"&lt;="&amp;F6))/Capacity!$B$4+(SUMIFS($D$2:$D$70,$B$2:$B$70,Capacity!$A$5,$F$2:$F$70,"&lt;="&amp;F6)-SUMIFS('Demand Projection'!$D$2:$D$169,'Demand Projection'!$B$2:$B$169,Capacity!$A$5,'Demand Projection'!$C$2:$C$169,"&lt;="&amp;F6))/Capacity!$B$5+(SUMIFS($D$2:$D$70,$B$2:$B$70,Capacity!$A$6,$F$2:$F$70,"&lt;="&amp;F6)-SUMIFS('Demand Projection'!$D$2:$D$169,'Demand Projection'!$B$2:$B$169,Capacity!$A$6,'Demand Projection'!$C$2:$C$169,"&lt;="&amp;F6))/Capacity!$B$6+(SUMIFS($D$2:$D$70,$B$2:$B$70,Capacity!$A$7,$F$2:$F$70,"&lt;="&amp;F6)-SUMIFS('Demand Projection'!$D$2:$D$169,'Demand Projection'!$B$2:$B$169,Capacity!$A$7,'Demand Projection'!$C$2:$C$169,"&lt;="&amp;F6))/Capacity!$B$7,2)</f>
        <v>1.21</v>
      </c>
    </row>
    <row r="7" customFormat="false" ht="15" hidden="false" customHeight="false" outlineLevel="0" collapsed="false">
      <c r="A7" s="0" t="n">
        <v>6</v>
      </c>
      <c r="B7" s="0" t="str">
        <f aca="false">INDEX(Helper!$B$2:$B$169,MATCH(A7-5,Helper!$K$2:$K$169,0))</f>
        <v>SKU PROD A</v>
      </c>
      <c r="C7" s="2" t="n">
        <f aca="false">INDEX(Helper!$C$2:$C$169,MATCH(A7-5,Helper!$K$2:$K$169,0))</f>
        <v>46029</v>
      </c>
      <c r="D7" s="0" t="n">
        <f aca="false">INDEX(Helper!$I$2:$I$169,MATCH(A7-5,Helper!$K$2:$K$169,0))</f>
        <v>2832</v>
      </c>
      <c r="E7" s="0" t="s">
        <v>17</v>
      </c>
      <c r="F7" s="2" t="n">
        <f aca="false">C7+3</f>
        <v>46032</v>
      </c>
      <c r="G7" s="3" t="n">
        <f aca="false">ROUND((SUMIFS($D$2:$D$70,$B$2:$B$70,Capacity!$A$3,$F$2:$F$70,"&lt;="&amp;F7)-SUMIFS('Demand Projection'!$D$2:$D$169,'Demand Projection'!$B$2:$B$169,Capacity!$A$3,'Demand Projection'!$C$2:$C$169,"&lt;="&amp;F7))/Capacity!$B$3+(SUMIFS($D$2:$D$70,$B$2:$B$70,Capacity!$A$4,$F$2:$F$70,"&lt;="&amp;F7)-SUMIFS('Demand Projection'!$D$2:$D$169,'Demand Projection'!$B$2:$B$169,Capacity!$A$4,'Demand Projection'!$C$2:$C$169,"&lt;="&amp;F7))/Capacity!$B$4+(SUMIFS($D$2:$D$70,$B$2:$B$70,Capacity!$A$5,$F$2:$F$70,"&lt;="&amp;F7)-SUMIFS('Demand Projection'!$D$2:$D$169,'Demand Projection'!$B$2:$B$169,Capacity!$A$5,'Demand Projection'!$C$2:$C$169,"&lt;="&amp;F7))/Capacity!$B$5+(SUMIFS($D$2:$D$70,$B$2:$B$70,Capacity!$A$6,$F$2:$F$70,"&lt;="&amp;F7)-SUMIFS('Demand Projection'!$D$2:$D$169,'Demand Projection'!$B$2:$B$169,Capacity!$A$6,'Demand Projection'!$C$2:$C$169,"&lt;="&amp;F7))/Capacity!$B$6+(SUMIFS($D$2:$D$70,$B$2:$B$70,Capacity!$A$7,$F$2:$F$70,"&lt;="&amp;F7)-SUMIFS('Demand Projection'!$D$2:$D$169,'Demand Projection'!$B$2:$B$169,Capacity!$A$7,'Demand Projection'!$C$2:$C$169,"&lt;="&amp;F7))/Capacity!$B$7,2)</f>
        <v>0.84</v>
      </c>
    </row>
    <row r="8" customFormat="false" ht="15" hidden="false" customHeight="false" outlineLevel="0" collapsed="false">
      <c r="A8" s="0" t="n">
        <v>7</v>
      </c>
      <c r="B8" s="0" t="str">
        <f aca="false">INDEX(Helper!$B$2:$B$169,MATCH(A8-5,Helper!$K$2:$K$169,0))</f>
        <v>SKU PROD C</v>
      </c>
      <c r="C8" s="2" t="n">
        <f aca="false">INDEX(Helper!$C$2:$C$169,MATCH(A8-5,Helper!$K$2:$K$169,0))</f>
        <v>46031</v>
      </c>
      <c r="D8" s="0" t="n">
        <f aca="false">INDEX(Helper!$I$2:$I$169,MATCH(A8-5,Helper!$K$2:$K$169,0))</f>
        <v>1237</v>
      </c>
      <c r="E8" s="0" t="s">
        <v>17</v>
      </c>
      <c r="F8" s="2" t="n">
        <f aca="false">C8+3</f>
        <v>46034</v>
      </c>
      <c r="G8" s="3" t="n">
        <f aca="false">ROUND((SUMIFS($D$2:$D$70,$B$2:$B$70,Capacity!$A$3,$F$2:$F$70,"&lt;="&amp;F8)-SUMIFS('Demand Projection'!$D$2:$D$169,'Demand Projection'!$B$2:$B$169,Capacity!$A$3,'Demand Projection'!$C$2:$C$169,"&lt;="&amp;F8))/Capacity!$B$3+(SUMIFS($D$2:$D$70,$B$2:$B$70,Capacity!$A$4,$F$2:$F$70,"&lt;="&amp;F8)-SUMIFS('Demand Projection'!$D$2:$D$169,'Demand Projection'!$B$2:$B$169,Capacity!$A$4,'Demand Projection'!$C$2:$C$169,"&lt;="&amp;F8))/Capacity!$B$4+(SUMIFS($D$2:$D$70,$B$2:$B$70,Capacity!$A$5,$F$2:$F$70,"&lt;="&amp;F8)-SUMIFS('Demand Projection'!$D$2:$D$169,'Demand Projection'!$B$2:$B$169,Capacity!$A$5,'Demand Projection'!$C$2:$C$169,"&lt;="&amp;F8))/Capacity!$B$5+(SUMIFS($D$2:$D$70,$B$2:$B$70,Capacity!$A$6,$F$2:$F$70,"&lt;="&amp;F8)-SUMIFS('Demand Projection'!$D$2:$D$169,'Demand Projection'!$B$2:$B$169,Capacity!$A$6,'Demand Projection'!$C$2:$C$169,"&lt;="&amp;F8))/Capacity!$B$6+(SUMIFS($D$2:$D$70,$B$2:$B$70,Capacity!$A$7,$F$2:$F$70,"&lt;="&amp;F8)-SUMIFS('Demand Projection'!$D$2:$D$169,'Demand Projection'!$B$2:$B$169,Capacity!$A$7,'Demand Projection'!$C$2:$C$169,"&lt;="&amp;F8))/Capacity!$B$7,2)</f>
        <v>0.91</v>
      </c>
    </row>
    <row r="9" customFormat="false" ht="15" hidden="false" customHeight="false" outlineLevel="0" collapsed="false">
      <c r="A9" s="0" t="n">
        <v>8</v>
      </c>
      <c r="B9" s="0" t="str">
        <f aca="false">INDEX(Helper!$B$2:$B$169,MATCH(A9-5,Helper!$K$2:$K$169,0))</f>
        <v>SKU PROD D</v>
      </c>
      <c r="C9" s="2" t="n">
        <f aca="false">INDEX(Helper!$C$2:$C$169,MATCH(A9-5,Helper!$K$2:$K$169,0))</f>
        <v>46050</v>
      </c>
      <c r="D9" s="0" t="n">
        <f aca="false">INDEX(Helper!$I$2:$I$169,MATCH(A9-5,Helper!$K$2:$K$169,0))</f>
        <v>4532</v>
      </c>
      <c r="E9" s="0" t="s">
        <v>17</v>
      </c>
      <c r="F9" s="2" t="n">
        <f aca="false">C9+3</f>
        <v>46053</v>
      </c>
      <c r="G9" s="3" t="n">
        <f aca="false">ROUND((SUMIFS($D$2:$D$70,$B$2:$B$70,Capacity!$A$3,$F$2:$F$70,"&lt;="&amp;F9)-SUMIFS('Demand Projection'!$D$2:$D$169,'Demand Projection'!$B$2:$B$169,Capacity!$A$3,'Demand Projection'!$C$2:$C$169,"&lt;="&amp;F9))/Capacity!$B$3+(SUMIFS($D$2:$D$70,$B$2:$B$70,Capacity!$A$4,$F$2:$F$70,"&lt;="&amp;F9)-SUMIFS('Demand Projection'!$D$2:$D$169,'Demand Projection'!$B$2:$B$169,Capacity!$A$4,'Demand Projection'!$C$2:$C$169,"&lt;="&amp;F9))/Capacity!$B$4+(SUMIFS($D$2:$D$70,$B$2:$B$70,Capacity!$A$5,$F$2:$F$70,"&lt;="&amp;F9)-SUMIFS('Demand Projection'!$D$2:$D$169,'Demand Projection'!$B$2:$B$169,Capacity!$A$5,'Demand Projection'!$C$2:$C$169,"&lt;="&amp;F9))/Capacity!$B$5+(SUMIFS($D$2:$D$70,$B$2:$B$70,Capacity!$A$6,$F$2:$F$70,"&lt;="&amp;F9)-SUMIFS('Demand Projection'!$D$2:$D$169,'Demand Projection'!$B$2:$B$169,Capacity!$A$6,'Demand Projection'!$C$2:$C$169,"&lt;="&amp;F9))/Capacity!$B$6+(SUMIFS($D$2:$D$70,$B$2:$B$70,Capacity!$A$7,$F$2:$F$70,"&lt;="&amp;F9)-SUMIFS('Demand Projection'!$D$2:$D$169,'Demand Projection'!$B$2:$B$169,Capacity!$A$7,'Demand Projection'!$C$2:$C$169,"&lt;="&amp;F9))/Capacity!$B$7,2)</f>
        <v>0.83</v>
      </c>
    </row>
    <row r="10" customFormat="false" ht="15" hidden="false" customHeight="false" outlineLevel="0" collapsed="false">
      <c r="A10" s="0" t="n">
        <v>9</v>
      </c>
      <c r="B10" s="0" t="str">
        <f aca="false">INDEX(Helper!$B$2:$B$169,MATCH(A10-5,Helper!$K$2:$K$169,0))</f>
        <v>SKU PROD E</v>
      </c>
      <c r="C10" s="2" t="n">
        <f aca="false">INDEX(Helper!$C$2:$C$169,MATCH(A10-5,Helper!$K$2:$K$169,0))</f>
        <v>46050</v>
      </c>
      <c r="D10" s="0" t="n">
        <f aca="false">INDEX(Helper!$I$2:$I$169,MATCH(A10-5,Helper!$K$2:$K$169,0))</f>
        <v>2457</v>
      </c>
      <c r="E10" s="0" t="s">
        <v>17</v>
      </c>
      <c r="F10" s="2" t="n">
        <f aca="false">C10+3</f>
        <v>46053</v>
      </c>
      <c r="G10" s="3" t="n">
        <f aca="false">ROUND((SUMIFS($D$2:$D$70,$B$2:$B$70,Capacity!$A$3,$F$2:$F$70,"&lt;="&amp;F10)-SUMIFS('Demand Projection'!$D$2:$D$169,'Demand Projection'!$B$2:$B$169,Capacity!$A$3,'Demand Projection'!$C$2:$C$169,"&lt;="&amp;F10))/Capacity!$B$3+(SUMIFS($D$2:$D$70,$B$2:$B$70,Capacity!$A$4,$F$2:$F$70,"&lt;="&amp;F10)-SUMIFS('Demand Projection'!$D$2:$D$169,'Demand Projection'!$B$2:$B$169,Capacity!$A$4,'Demand Projection'!$C$2:$C$169,"&lt;="&amp;F10))/Capacity!$B$4+(SUMIFS($D$2:$D$70,$B$2:$B$70,Capacity!$A$5,$F$2:$F$70,"&lt;="&amp;F10)-SUMIFS('Demand Projection'!$D$2:$D$169,'Demand Projection'!$B$2:$B$169,Capacity!$A$5,'Demand Projection'!$C$2:$C$169,"&lt;="&amp;F10))/Capacity!$B$5+(SUMIFS($D$2:$D$70,$B$2:$B$70,Capacity!$A$6,$F$2:$F$70,"&lt;="&amp;F10)-SUMIFS('Demand Projection'!$D$2:$D$169,'Demand Projection'!$B$2:$B$169,Capacity!$A$6,'Demand Projection'!$C$2:$C$169,"&lt;="&amp;F10))/Capacity!$B$6+(SUMIFS($D$2:$D$70,$B$2:$B$70,Capacity!$A$7,$F$2:$F$70,"&lt;="&amp;F10)-SUMIFS('Demand Projection'!$D$2:$D$169,'Demand Projection'!$B$2:$B$169,Capacity!$A$7,'Demand Projection'!$C$2:$C$169,"&lt;="&amp;F10))/Capacity!$B$7,2)</f>
        <v>0.83</v>
      </c>
    </row>
    <row r="11" customFormat="false" ht="15" hidden="false" customHeight="false" outlineLevel="0" collapsed="false">
      <c r="A11" s="0" t="n">
        <v>10</v>
      </c>
      <c r="B11" s="0" t="str">
        <f aca="false">INDEX(Helper!$B$2:$B$169,MATCH(A11-5,Helper!$K$2:$K$169,0))</f>
        <v>SKU PROD A</v>
      </c>
      <c r="C11" s="2" t="n">
        <f aca="false">INDEX(Helper!$C$2:$C$169,MATCH(A11-5,Helper!$K$2:$K$169,0))</f>
        <v>46056</v>
      </c>
      <c r="D11" s="0" t="n">
        <f aca="false">INDEX(Helper!$I$2:$I$169,MATCH(A11-5,Helper!$K$2:$K$169,0))</f>
        <v>2050</v>
      </c>
      <c r="E11" s="0" t="s">
        <v>17</v>
      </c>
      <c r="F11" s="2" t="n">
        <f aca="false">C11+3</f>
        <v>46059</v>
      </c>
      <c r="G11" s="3" t="n">
        <f aca="false">ROUND((SUMIFS($D$2:$D$70,$B$2:$B$70,Capacity!$A$3,$F$2:$F$70,"&lt;="&amp;F11)-SUMIFS('Demand Projection'!$D$2:$D$169,'Demand Projection'!$B$2:$B$169,Capacity!$A$3,'Demand Projection'!$C$2:$C$169,"&lt;="&amp;F11))/Capacity!$B$3+(SUMIFS($D$2:$D$70,$B$2:$B$70,Capacity!$A$4,$F$2:$F$70,"&lt;="&amp;F11)-SUMIFS('Demand Projection'!$D$2:$D$169,'Demand Projection'!$B$2:$B$169,Capacity!$A$4,'Demand Projection'!$C$2:$C$169,"&lt;="&amp;F11))/Capacity!$B$4+(SUMIFS($D$2:$D$70,$B$2:$B$70,Capacity!$A$5,$F$2:$F$70,"&lt;="&amp;F11)-SUMIFS('Demand Projection'!$D$2:$D$169,'Demand Projection'!$B$2:$B$169,Capacity!$A$5,'Demand Projection'!$C$2:$C$169,"&lt;="&amp;F11))/Capacity!$B$5+(SUMIFS($D$2:$D$70,$B$2:$B$70,Capacity!$A$6,$F$2:$F$70,"&lt;="&amp;F11)-SUMIFS('Demand Projection'!$D$2:$D$169,'Demand Projection'!$B$2:$B$169,Capacity!$A$6,'Demand Projection'!$C$2:$C$169,"&lt;="&amp;F11))/Capacity!$B$6+(SUMIFS($D$2:$D$70,$B$2:$B$70,Capacity!$A$7,$F$2:$F$70,"&lt;="&amp;F11)-SUMIFS('Demand Projection'!$D$2:$D$169,'Demand Projection'!$B$2:$B$169,Capacity!$A$7,'Demand Projection'!$C$2:$C$169,"&lt;="&amp;F11))/Capacity!$B$7,2)</f>
        <v>0.95</v>
      </c>
    </row>
    <row r="12" customFormat="false" ht="15" hidden="false" customHeight="false" outlineLevel="0" collapsed="false">
      <c r="A12" s="0" t="n">
        <v>11</v>
      </c>
      <c r="B12" s="0" t="str">
        <f aca="false">INDEX(Helper!$B$2:$B$169,MATCH(A12-5,Helper!$K$2:$K$169,0))</f>
        <v>SKU PROD B</v>
      </c>
      <c r="C12" s="2" t="n">
        <f aca="false">INDEX(Helper!$C$2:$C$169,MATCH(A12-5,Helper!$K$2:$K$169,0))</f>
        <v>46056</v>
      </c>
      <c r="D12" s="0" t="n">
        <f aca="false">INDEX(Helper!$I$2:$I$169,MATCH(A12-5,Helper!$K$2:$K$169,0))</f>
        <v>11470</v>
      </c>
      <c r="E12" s="0" t="s">
        <v>17</v>
      </c>
      <c r="F12" s="2" t="n">
        <f aca="false">C12+3</f>
        <v>46059</v>
      </c>
      <c r="G12" s="3" t="n">
        <f aca="false">ROUND((SUMIFS($D$2:$D$70,$B$2:$B$70,Capacity!$A$3,$F$2:$F$70,"&lt;="&amp;F12)-SUMIFS('Demand Projection'!$D$2:$D$169,'Demand Projection'!$B$2:$B$169,Capacity!$A$3,'Demand Projection'!$C$2:$C$169,"&lt;="&amp;F12))/Capacity!$B$3+(SUMIFS($D$2:$D$70,$B$2:$B$70,Capacity!$A$4,$F$2:$F$70,"&lt;="&amp;F12)-SUMIFS('Demand Projection'!$D$2:$D$169,'Demand Projection'!$B$2:$B$169,Capacity!$A$4,'Demand Projection'!$C$2:$C$169,"&lt;="&amp;F12))/Capacity!$B$4+(SUMIFS($D$2:$D$70,$B$2:$B$70,Capacity!$A$5,$F$2:$F$70,"&lt;="&amp;F12)-SUMIFS('Demand Projection'!$D$2:$D$169,'Demand Projection'!$B$2:$B$169,Capacity!$A$5,'Demand Projection'!$C$2:$C$169,"&lt;="&amp;F12))/Capacity!$B$5+(SUMIFS($D$2:$D$70,$B$2:$B$70,Capacity!$A$6,$F$2:$F$70,"&lt;="&amp;F12)-SUMIFS('Demand Projection'!$D$2:$D$169,'Demand Projection'!$B$2:$B$169,Capacity!$A$6,'Demand Projection'!$C$2:$C$169,"&lt;="&amp;F12))/Capacity!$B$6+(SUMIFS($D$2:$D$70,$B$2:$B$70,Capacity!$A$7,$F$2:$F$70,"&lt;="&amp;F12)-SUMIFS('Demand Projection'!$D$2:$D$169,'Demand Projection'!$B$2:$B$169,Capacity!$A$7,'Demand Projection'!$C$2:$C$169,"&lt;="&amp;F12))/Capacity!$B$7,2)</f>
        <v>0.95</v>
      </c>
    </row>
    <row r="13" customFormat="false" ht="15" hidden="false" customHeight="false" outlineLevel="0" collapsed="false">
      <c r="A13" s="0" t="n">
        <v>12</v>
      </c>
      <c r="B13" s="0" t="str">
        <f aca="false">INDEX(Helper!$B$2:$B$169,MATCH(A13-5,Helper!$K$2:$K$169,0))</f>
        <v>SKU PROD A</v>
      </c>
      <c r="C13" s="2" t="n">
        <f aca="false">INDEX(Helper!$C$2:$C$169,MATCH(A13-5,Helper!$K$2:$K$169,0))</f>
        <v>46057</v>
      </c>
      <c r="D13" s="0" t="n">
        <f aca="false">INDEX(Helper!$I$2:$I$169,MATCH(A13-5,Helper!$K$2:$K$169,0))</f>
        <v>2470</v>
      </c>
      <c r="E13" s="0" t="s">
        <v>17</v>
      </c>
      <c r="F13" s="2" t="n">
        <f aca="false">C13+3</f>
        <v>46060</v>
      </c>
      <c r="G13" s="3" t="n">
        <f aca="false">ROUND((SUMIFS($D$2:$D$70,$B$2:$B$70,Capacity!$A$3,$F$2:$F$70,"&lt;="&amp;F13)-SUMIFS('Demand Projection'!$D$2:$D$169,'Demand Projection'!$B$2:$B$169,Capacity!$A$3,'Demand Projection'!$C$2:$C$169,"&lt;="&amp;F13))/Capacity!$B$3+(SUMIFS($D$2:$D$70,$B$2:$B$70,Capacity!$A$4,$F$2:$F$70,"&lt;="&amp;F13)-SUMIFS('Demand Projection'!$D$2:$D$169,'Demand Projection'!$B$2:$B$169,Capacity!$A$4,'Demand Projection'!$C$2:$C$169,"&lt;="&amp;F13))/Capacity!$B$4+(SUMIFS($D$2:$D$70,$B$2:$B$70,Capacity!$A$5,$F$2:$F$70,"&lt;="&amp;F13)-SUMIFS('Demand Projection'!$D$2:$D$169,'Demand Projection'!$B$2:$B$169,Capacity!$A$5,'Demand Projection'!$C$2:$C$169,"&lt;="&amp;F13))/Capacity!$B$5+(SUMIFS($D$2:$D$70,$B$2:$B$70,Capacity!$A$6,$F$2:$F$70,"&lt;="&amp;F13)-SUMIFS('Demand Projection'!$D$2:$D$169,'Demand Projection'!$B$2:$B$169,Capacity!$A$6,'Demand Projection'!$C$2:$C$169,"&lt;="&amp;F13))/Capacity!$B$6+(SUMIFS($D$2:$D$70,$B$2:$B$70,Capacity!$A$7,$F$2:$F$70,"&lt;="&amp;F13)-SUMIFS('Demand Projection'!$D$2:$D$169,'Demand Projection'!$B$2:$B$169,Capacity!$A$7,'Demand Projection'!$C$2:$C$169,"&lt;="&amp;F13))/Capacity!$B$7,2)</f>
        <v>1.1</v>
      </c>
    </row>
    <row r="14" customFormat="false" ht="15" hidden="false" customHeight="false" outlineLevel="0" collapsed="false">
      <c r="A14" s="0" t="n">
        <v>13</v>
      </c>
      <c r="B14" s="0" t="str">
        <f aca="false">INDEX(Helper!$B$2:$B$169,MATCH(A14-5,Helper!$K$2:$K$169,0))</f>
        <v>SKU PROD C</v>
      </c>
      <c r="C14" s="2" t="n">
        <f aca="false">INDEX(Helper!$C$2:$C$169,MATCH(A14-5,Helper!$K$2:$K$169,0))</f>
        <v>46058</v>
      </c>
      <c r="D14" s="0" t="n">
        <f aca="false">INDEX(Helper!$I$2:$I$169,MATCH(A14-5,Helper!$K$2:$K$169,0))</f>
        <v>1745</v>
      </c>
      <c r="E14" s="0" t="s">
        <v>17</v>
      </c>
      <c r="F14" s="2" t="n">
        <f aca="false">C14+3</f>
        <v>46061</v>
      </c>
      <c r="G14" s="3" t="n">
        <f aca="false">ROUND((SUMIFS($D$2:$D$70,$B$2:$B$70,Capacity!$A$3,$F$2:$F$70,"&lt;="&amp;F14)-SUMIFS('Demand Projection'!$D$2:$D$169,'Demand Projection'!$B$2:$B$169,Capacity!$A$3,'Demand Projection'!$C$2:$C$169,"&lt;="&amp;F14))/Capacity!$B$3+(SUMIFS($D$2:$D$70,$B$2:$B$70,Capacity!$A$4,$F$2:$F$70,"&lt;="&amp;F14)-SUMIFS('Demand Projection'!$D$2:$D$169,'Demand Projection'!$B$2:$B$169,Capacity!$A$4,'Demand Projection'!$C$2:$C$169,"&lt;="&amp;F14))/Capacity!$B$4+(SUMIFS($D$2:$D$70,$B$2:$B$70,Capacity!$A$5,$F$2:$F$70,"&lt;="&amp;F14)-SUMIFS('Demand Projection'!$D$2:$D$169,'Demand Projection'!$B$2:$B$169,Capacity!$A$5,'Demand Projection'!$C$2:$C$169,"&lt;="&amp;F14))/Capacity!$B$5+(SUMIFS($D$2:$D$70,$B$2:$B$70,Capacity!$A$6,$F$2:$F$70,"&lt;="&amp;F14)-SUMIFS('Demand Projection'!$D$2:$D$169,'Demand Projection'!$B$2:$B$169,Capacity!$A$6,'Demand Projection'!$C$2:$C$169,"&lt;="&amp;F14))/Capacity!$B$6+(SUMIFS($D$2:$D$70,$B$2:$B$70,Capacity!$A$7,$F$2:$F$70,"&lt;="&amp;F14)-SUMIFS('Demand Projection'!$D$2:$D$169,'Demand Projection'!$B$2:$B$169,Capacity!$A$7,'Demand Projection'!$C$2:$C$169,"&lt;="&amp;F14))/Capacity!$B$7,2)</f>
        <v>1.21</v>
      </c>
    </row>
    <row r="15" customFormat="false" ht="15" hidden="false" customHeight="false" outlineLevel="0" collapsed="false">
      <c r="A15" s="0" t="n">
        <v>14</v>
      </c>
      <c r="B15" s="0" t="str">
        <f aca="false">INDEX(Helper!$B$2:$B$169,MATCH(A15-5,Helper!$K$2:$K$169,0))</f>
        <v>SKU PROD C</v>
      </c>
      <c r="C15" s="2" t="n">
        <f aca="false">INDEX(Helper!$C$2:$C$169,MATCH(A15-5,Helper!$K$2:$K$169,0))</f>
        <v>46073</v>
      </c>
      <c r="D15" s="0" t="n">
        <f aca="false">INDEX(Helper!$I$2:$I$169,MATCH(A15-5,Helper!$K$2:$K$169,0))</f>
        <v>1385</v>
      </c>
      <c r="E15" s="0" t="s">
        <v>17</v>
      </c>
      <c r="F15" s="2" t="n">
        <f aca="false">C15+3</f>
        <v>46076</v>
      </c>
      <c r="G15" s="3" t="n">
        <f aca="false">ROUND((SUMIFS($D$2:$D$70,$B$2:$B$70,Capacity!$A$3,$F$2:$F$70,"&lt;="&amp;F15)-SUMIFS('Demand Projection'!$D$2:$D$169,'Demand Projection'!$B$2:$B$169,Capacity!$A$3,'Demand Projection'!$C$2:$C$169,"&lt;="&amp;F15))/Capacity!$B$3+(SUMIFS($D$2:$D$70,$B$2:$B$70,Capacity!$A$4,$F$2:$F$70,"&lt;="&amp;F15)-SUMIFS('Demand Projection'!$D$2:$D$169,'Demand Projection'!$B$2:$B$169,Capacity!$A$4,'Demand Projection'!$C$2:$C$169,"&lt;="&amp;F15))/Capacity!$B$4+(SUMIFS($D$2:$D$70,$B$2:$B$70,Capacity!$A$5,$F$2:$F$70,"&lt;="&amp;F15)-SUMIFS('Demand Projection'!$D$2:$D$169,'Demand Projection'!$B$2:$B$169,Capacity!$A$5,'Demand Projection'!$C$2:$C$169,"&lt;="&amp;F15))/Capacity!$B$5+(SUMIFS($D$2:$D$70,$B$2:$B$70,Capacity!$A$6,$F$2:$F$70,"&lt;="&amp;F15)-SUMIFS('Demand Projection'!$D$2:$D$169,'Demand Projection'!$B$2:$B$169,Capacity!$A$6,'Demand Projection'!$C$2:$C$169,"&lt;="&amp;F15))/Capacity!$B$6+(SUMIFS($D$2:$D$70,$B$2:$B$70,Capacity!$A$7,$F$2:$F$70,"&lt;="&amp;F15)-SUMIFS('Demand Projection'!$D$2:$D$169,'Demand Projection'!$B$2:$B$169,Capacity!$A$7,'Demand Projection'!$C$2:$C$169,"&lt;="&amp;F15))/Capacity!$B$7,2)</f>
        <v>1.04</v>
      </c>
    </row>
    <row r="16" customFormat="false" ht="15" hidden="false" customHeight="false" outlineLevel="0" collapsed="false">
      <c r="A16" s="0" t="n">
        <v>15</v>
      </c>
      <c r="B16" s="0" t="str">
        <f aca="false">INDEX(Helper!$B$2:$B$169,MATCH(A16-5,Helper!$K$2:$K$169,0))</f>
        <v>SKU PROD D</v>
      </c>
      <c r="C16" s="2" t="n">
        <f aca="false">INDEX(Helper!$C$2:$C$169,MATCH(A16-5,Helper!$K$2:$K$169,0))</f>
        <v>46081</v>
      </c>
      <c r="D16" s="0" t="n">
        <f aca="false">INDEX(Helper!$I$2:$I$169,MATCH(A16-5,Helper!$K$2:$K$169,0))</f>
        <v>4823</v>
      </c>
      <c r="E16" s="0" t="s">
        <v>17</v>
      </c>
      <c r="F16" s="2" t="n">
        <f aca="false">C16+3</f>
        <v>46084</v>
      </c>
      <c r="G16" s="3" t="n">
        <f aca="false">ROUND((SUMIFS($D$2:$D$70,$B$2:$B$70,Capacity!$A$3,$F$2:$F$70,"&lt;="&amp;F16)-SUMIFS('Demand Projection'!$D$2:$D$169,'Demand Projection'!$B$2:$B$169,Capacity!$A$3,'Demand Projection'!$C$2:$C$169,"&lt;="&amp;F16))/Capacity!$B$3+(SUMIFS($D$2:$D$70,$B$2:$B$70,Capacity!$A$4,$F$2:$F$70,"&lt;="&amp;F16)-SUMIFS('Demand Projection'!$D$2:$D$169,'Demand Projection'!$B$2:$B$169,Capacity!$A$4,'Demand Projection'!$C$2:$C$169,"&lt;="&amp;F16))/Capacity!$B$4+(SUMIFS($D$2:$D$70,$B$2:$B$70,Capacity!$A$5,$F$2:$F$70,"&lt;="&amp;F16)-SUMIFS('Demand Projection'!$D$2:$D$169,'Demand Projection'!$B$2:$B$169,Capacity!$A$5,'Demand Projection'!$C$2:$C$169,"&lt;="&amp;F16))/Capacity!$B$5+(SUMIFS($D$2:$D$70,$B$2:$B$70,Capacity!$A$6,$F$2:$F$70,"&lt;="&amp;F16)-SUMIFS('Demand Projection'!$D$2:$D$169,'Demand Projection'!$B$2:$B$169,Capacity!$A$6,'Demand Projection'!$C$2:$C$169,"&lt;="&amp;F16))/Capacity!$B$6+(SUMIFS($D$2:$D$70,$B$2:$B$70,Capacity!$A$7,$F$2:$F$70,"&lt;="&amp;F16)-SUMIFS('Demand Projection'!$D$2:$D$169,'Demand Projection'!$B$2:$B$169,Capacity!$A$7,'Demand Projection'!$C$2:$C$169,"&lt;="&amp;F16))/Capacity!$B$7,2)</f>
        <v>0.81</v>
      </c>
    </row>
    <row r="17" customFormat="false" ht="15" hidden="false" customHeight="false" outlineLevel="0" collapsed="false">
      <c r="A17" s="0" t="n">
        <v>16</v>
      </c>
      <c r="B17" s="0" t="str">
        <f aca="false">INDEX(Helper!$B$2:$B$169,MATCH(A17-5,Helper!$K$2:$K$169,0))</f>
        <v>SKU PROD E</v>
      </c>
      <c r="C17" s="2" t="n">
        <f aca="false">INDEX(Helper!$C$2:$C$169,MATCH(A17-5,Helper!$K$2:$K$169,0))</f>
        <v>46081</v>
      </c>
      <c r="D17" s="0" t="n">
        <f aca="false">INDEX(Helper!$I$2:$I$169,MATCH(A17-5,Helper!$K$2:$K$169,0))</f>
        <v>2570</v>
      </c>
      <c r="E17" s="0" t="s">
        <v>17</v>
      </c>
      <c r="F17" s="2" t="n">
        <f aca="false">C17+3</f>
        <v>46084</v>
      </c>
      <c r="G17" s="3" t="n">
        <f aca="false">ROUND((SUMIFS($D$2:$D$70,$B$2:$B$70,Capacity!$A$3,$F$2:$F$70,"&lt;="&amp;F17)-SUMIFS('Demand Projection'!$D$2:$D$169,'Demand Projection'!$B$2:$B$169,Capacity!$A$3,'Demand Projection'!$C$2:$C$169,"&lt;="&amp;F17))/Capacity!$B$3+(SUMIFS($D$2:$D$70,$B$2:$B$70,Capacity!$A$4,$F$2:$F$70,"&lt;="&amp;F17)-SUMIFS('Demand Projection'!$D$2:$D$169,'Demand Projection'!$B$2:$B$169,Capacity!$A$4,'Demand Projection'!$C$2:$C$169,"&lt;="&amp;F17))/Capacity!$B$4+(SUMIFS($D$2:$D$70,$B$2:$B$70,Capacity!$A$5,$F$2:$F$70,"&lt;="&amp;F17)-SUMIFS('Demand Projection'!$D$2:$D$169,'Demand Projection'!$B$2:$B$169,Capacity!$A$5,'Demand Projection'!$C$2:$C$169,"&lt;="&amp;F17))/Capacity!$B$5+(SUMIFS($D$2:$D$70,$B$2:$B$70,Capacity!$A$6,$F$2:$F$70,"&lt;="&amp;F17)-SUMIFS('Demand Projection'!$D$2:$D$169,'Demand Projection'!$B$2:$B$169,Capacity!$A$6,'Demand Projection'!$C$2:$C$169,"&lt;="&amp;F17))/Capacity!$B$6+(SUMIFS($D$2:$D$70,$B$2:$B$70,Capacity!$A$7,$F$2:$F$70,"&lt;="&amp;F17)-SUMIFS('Demand Projection'!$D$2:$D$169,'Demand Projection'!$B$2:$B$169,Capacity!$A$7,'Demand Projection'!$C$2:$C$169,"&lt;="&amp;F17))/Capacity!$B$7,2)</f>
        <v>0.81</v>
      </c>
    </row>
    <row r="18" customFormat="false" ht="15" hidden="false" customHeight="false" outlineLevel="0" collapsed="false">
      <c r="A18" s="0" t="n">
        <v>17</v>
      </c>
      <c r="B18" s="0" t="str">
        <f aca="false">INDEX(Helper!$B$2:$B$169,MATCH(A18-5,Helper!$K$2:$K$169,0))</f>
        <v>SKU PROD B</v>
      </c>
      <c r="C18" s="2" t="n">
        <f aca="false">INDEX(Helper!$C$2:$C$169,MATCH(A18-5,Helper!$K$2:$K$169,0))</f>
        <v>46084</v>
      </c>
      <c r="D18" s="0" t="n">
        <f aca="false">INDEX(Helper!$I$2:$I$169,MATCH(A18-5,Helper!$K$2:$K$169,0))</f>
        <v>6804</v>
      </c>
      <c r="E18" s="0" t="s">
        <v>17</v>
      </c>
      <c r="F18" s="2" t="n">
        <f aca="false">C18+3</f>
        <v>46087</v>
      </c>
      <c r="G18" s="3" t="n">
        <f aca="false">ROUND((SUMIFS($D$2:$D$70,$B$2:$B$70,Capacity!$A$3,$F$2:$F$70,"&lt;="&amp;F18)-SUMIFS('Demand Projection'!$D$2:$D$169,'Demand Projection'!$B$2:$B$169,Capacity!$A$3,'Demand Projection'!$C$2:$C$169,"&lt;="&amp;F18))/Capacity!$B$3+(SUMIFS($D$2:$D$70,$B$2:$B$70,Capacity!$A$4,$F$2:$F$70,"&lt;="&amp;F18)-SUMIFS('Demand Projection'!$D$2:$D$169,'Demand Projection'!$B$2:$B$169,Capacity!$A$4,'Demand Projection'!$C$2:$C$169,"&lt;="&amp;F18))/Capacity!$B$4+(SUMIFS($D$2:$D$70,$B$2:$B$70,Capacity!$A$5,$F$2:$F$70,"&lt;="&amp;F18)-SUMIFS('Demand Projection'!$D$2:$D$169,'Demand Projection'!$B$2:$B$169,Capacity!$A$5,'Demand Projection'!$C$2:$C$169,"&lt;="&amp;F18))/Capacity!$B$5+(SUMIFS($D$2:$D$70,$B$2:$B$70,Capacity!$A$6,$F$2:$F$70,"&lt;="&amp;F18)-SUMIFS('Demand Projection'!$D$2:$D$169,'Demand Projection'!$B$2:$B$169,Capacity!$A$6,'Demand Projection'!$C$2:$C$169,"&lt;="&amp;F18))/Capacity!$B$6+(SUMIFS($D$2:$D$70,$B$2:$B$70,Capacity!$A$7,$F$2:$F$70,"&lt;="&amp;F18)-SUMIFS('Demand Projection'!$D$2:$D$169,'Demand Projection'!$B$2:$B$169,Capacity!$A$7,'Demand Projection'!$C$2:$C$169,"&lt;="&amp;F18))/Capacity!$B$7,2)</f>
        <v>0.9</v>
      </c>
    </row>
    <row r="19" customFormat="false" ht="15" hidden="false" customHeight="false" outlineLevel="0" collapsed="false">
      <c r="A19" s="0" t="n">
        <v>18</v>
      </c>
      <c r="B19" s="0" t="str">
        <f aca="false">INDEX(Helper!$B$2:$B$169,MATCH(A19-5,Helper!$K$2:$K$169,0))</f>
        <v>SKU PROD A</v>
      </c>
      <c r="C19" s="2" t="n">
        <f aca="false">INDEX(Helper!$C$2:$C$169,MATCH(A19-5,Helper!$K$2:$K$169,0))</f>
        <v>46088</v>
      </c>
      <c r="D19" s="0" t="n">
        <f aca="false">INDEX(Helper!$I$2:$I$169,MATCH(A19-5,Helper!$K$2:$K$169,0))</f>
        <v>2545</v>
      </c>
      <c r="E19" s="0" t="s">
        <v>17</v>
      </c>
      <c r="F19" s="2" t="n">
        <f aca="false">C19+3</f>
        <v>46091</v>
      </c>
      <c r="G19" s="3" t="n">
        <f aca="false">ROUND((SUMIFS($D$2:$D$70,$B$2:$B$70,Capacity!$A$3,$F$2:$F$70,"&lt;="&amp;F19)-SUMIFS('Demand Projection'!$D$2:$D$169,'Demand Projection'!$B$2:$B$169,Capacity!$A$3,'Demand Projection'!$C$2:$C$169,"&lt;="&amp;F19))/Capacity!$B$3+(SUMIFS($D$2:$D$70,$B$2:$B$70,Capacity!$A$4,$F$2:$F$70,"&lt;="&amp;F19)-SUMIFS('Demand Projection'!$D$2:$D$169,'Demand Projection'!$B$2:$B$169,Capacity!$A$4,'Demand Projection'!$C$2:$C$169,"&lt;="&amp;F19))/Capacity!$B$4+(SUMIFS($D$2:$D$70,$B$2:$B$70,Capacity!$A$5,$F$2:$F$70,"&lt;="&amp;F19)-SUMIFS('Demand Projection'!$D$2:$D$169,'Demand Projection'!$B$2:$B$169,Capacity!$A$5,'Demand Projection'!$C$2:$C$169,"&lt;="&amp;F19))/Capacity!$B$5+(SUMIFS($D$2:$D$70,$B$2:$B$70,Capacity!$A$6,$F$2:$F$70,"&lt;="&amp;F19)-SUMIFS('Demand Projection'!$D$2:$D$169,'Demand Projection'!$B$2:$B$169,Capacity!$A$6,'Demand Projection'!$C$2:$C$169,"&lt;="&amp;F19))/Capacity!$B$6+(SUMIFS($D$2:$D$70,$B$2:$B$70,Capacity!$A$7,$F$2:$F$70,"&lt;="&amp;F19)-SUMIFS('Demand Projection'!$D$2:$D$169,'Demand Projection'!$B$2:$B$169,Capacity!$A$7,'Demand Projection'!$C$2:$C$169,"&lt;="&amp;F19))/Capacity!$B$7,2)</f>
        <v>1.02</v>
      </c>
    </row>
    <row r="20" customFormat="false" ht="15" hidden="false" customHeight="false" outlineLevel="0" collapsed="false">
      <c r="A20" s="0" t="n">
        <v>19</v>
      </c>
      <c r="B20" s="0" t="str">
        <f aca="false">INDEX(Helper!$B$2:$B$169,MATCH(A20-5,Helper!$K$2:$K$169,0))</f>
        <v>SKU PROD C</v>
      </c>
      <c r="C20" s="2" t="n">
        <f aca="false">INDEX(Helper!$C$2:$C$169,MATCH(A20-5,Helper!$K$2:$K$169,0))</f>
        <v>46090</v>
      </c>
      <c r="D20" s="0" t="n">
        <f aca="false">INDEX(Helper!$I$2:$I$169,MATCH(A20-5,Helper!$K$2:$K$169,0))</f>
        <v>1442</v>
      </c>
      <c r="E20" s="0" t="s">
        <v>17</v>
      </c>
      <c r="F20" s="2" t="n">
        <f aca="false">C20+3</f>
        <v>46093</v>
      </c>
      <c r="G20" s="3" t="n">
        <f aca="false">ROUND((SUMIFS($D$2:$D$70,$B$2:$B$70,Capacity!$A$3,$F$2:$F$70,"&lt;="&amp;F20)-SUMIFS('Demand Projection'!$D$2:$D$169,'Demand Projection'!$B$2:$B$169,Capacity!$A$3,'Demand Projection'!$C$2:$C$169,"&lt;="&amp;F20))/Capacity!$B$3+(SUMIFS($D$2:$D$70,$B$2:$B$70,Capacity!$A$4,$F$2:$F$70,"&lt;="&amp;F20)-SUMIFS('Demand Projection'!$D$2:$D$169,'Demand Projection'!$B$2:$B$169,Capacity!$A$4,'Demand Projection'!$C$2:$C$169,"&lt;="&amp;F20))/Capacity!$B$4+(SUMIFS($D$2:$D$70,$B$2:$B$70,Capacity!$A$5,$F$2:$F$70,"&lt;="&amp;F20)-SUMIFS('Demand Projection'!$D$2:$D$169,'Demand Projection'!$B$2:$B$169,Capacity!$A$5,'Demand Projection'!$C$2:$C$169,"&lt;="&amp;F20))/Capacity!$B$5+(SUMIFS($D$2:$D$70,$B$2:$B$70,Capacity!$A$6,$F$2:$F$70,"&lt;="&amp;F20)-SUMIFS('Demand Projection'!$D$2:$D$169,'Demand Projection'!$B$2:$B$169,Capacity!$A$6,'Demand Projection'!$C$2:$C$169,"&lt;="&amp;F20))/Capacity!$B$6+(SUMIFS($D$2:$D$70,$B$2:$B$70,Capacity!$A$7,$F$2:$F$70,"&lt;="&amp;F20)-SUMIFS('Demand Projection'!$D$2:$D$169,'Demand Projection'!$B$2:$B$169,Capacity!$A$7,'Demand Projection'!$C$2:$C$169,"&lt;="&amp;F20))/Capacity!$B$7,2)</f>
        <v>1.09</v>
      </c>
    </row>
    <row r="21" customFormat="false" ht="15" hidden="false" customHeight="false" outlineLevel="0" collapsed="false">
      <c r="A21" s="0" t="n">
        <v>20</v>
      </c>
      <c r="B21" s="0" t="str">
        <f aca="false">INDEX(Helper!$B$2:$B$169,MATCH(A21-5,Helper!$K$2:$K$169,0))</f>
        <v>SKU PROD D</v>
      </c>
      <c r="C21" s="2" t="n">
        <f aca="false">INDEX(Helper!$C$2:$C$169,MATCH(A21-5,Helper!$K$2:$K$169,0))</f>
        <v>46109</v>
      </c>
      <c r="D21" s="0" t="n">
        <f aca="false">INDEX(Helper!$I$2:$I$169,MATCH(A21-5,Helper!$K$2:$K$169,0))</f>
        <v>4841</v>
      </c>
      <c r="E21" s="0" t="s">
        <v>17</v>
      </c>
      <c r="F21" s="2" t="n">
        <f aca="false">C21+3</f>
        <v>46112</v>
      </c>
      <c r="G21" s="3" t="n">
        <f aca="false">ROUND((SUMIFS($D$2:$D$70,$B$2:$B$70,Capacity!$A$3,$F$2:$F$70,"&lt;="&amp;F21)-SUMIFS('Demand Projection'!$D$2:$D$169,'Demand Projection'!$B$2:$B$169,Capacity!$A$3,'Demand Projection'!$C$2:$C$169,"&lt;="&amp;F21))/Capacity!$B$3+(SUMIFS($D$2:$D$70,$B$2:$B$70,Capacity!$A$4,$F$2:$F$70,"&lt;="&amp;F21)-SUMIFS('Demand Projection'!$D$2:$D$169,'Demand Projection'!$B$2:$B$169,Capacity!$A$4,'Demand Projection'!$C$2:$C$169,"&lt;="&amp;F21))/Capacity!$B$4+(SUMIFS($D$2:$D$70,$B$2:$B$70,Capacity!$A$5,$F$2:$F$70,"&lt;="&amp;F21)-SUMIFS('Demand Projection'!$D$2:$D$169,'Demand Projection'!$B$2:$B$169,Capacity!$A$5,'Demand Projection'!$C$2:$C$169,"&lt;="&amp;F21))/Capacity!$B$5+(SUMIFS($D$2:$D$70,$B$2:$B$70,Capacity!$A$6,$F$2:$F$70,"&lt;="&amp;F21)-SUMIFS('Demand Projection'!$D$2:$D$169,'Demand Projection'!$B$2:$B$169,Capacity!$A$6,'Demand Projection'!$C$2:$C$169,"&lt;="&amp;F21))/Capacity!$B$6+(SUMIFS($D$2:$D$70,$B$2:$B$70,Capacity!$A$7,$F$2:$F$70,"&lt;="&amp;F21)-SUMIFS('Demand Projection'!$D$2:$D$169,'Demand Projection'!$B$2:$B$169,Capacity!$A$7,'Demand Projection'!$C$2:$C$169,"&lt;="&amp;F21))/Capacity!$B$7,2)</f>
        <v>1</v>
      </c>
    </row>
    <row r="22" customFormat="false" ht="15" hidden="false" customHeight="false" outlineLevel="0" collapsed="false">
      <c r="A22" s="0" t="n">
        <v>21</v>
      </c>
      <c r="B22" s="0" t="str">
        <f aca="false">INDEX(Helper!$B$2:$B$169,MATCH(A22-5,Helper!$K$2:$K$169,0))</f>
        <v>SKU PROD E</v>
      </c>
      <c r="C22" s="2" t="n">
        <f aca="false">INDEX(Helper!$C$2:$C$169,MATCH(A22-5,Helper!$K$2:$K$169,0))</f>
        <v>46109</v>
      </c>
      <c r="D22" s="0" t="n">
        <f aca="false">INDEX(Helper!$I$2:$I$169,MATCH(A22-5,Helper!$K$2:$K$169,0))</f>
        <v>2595</v>
      </c>
      <c r="E22" s="0" t="s">
        <v>17</v>
      </c>
      <c r="F22" s="2" t="n">
        <f aca="false">C22+3</f>
        <v>46112</v>
      </c>
      <c r="G22" s="3" t="n">
        <f aca="false">ROUND((SUMIFS($D$2:$D$70,$B$2:$B$70,Capacity!$A$3,$F$2:$F$70,"&lt;="&amp;F22)-SUMIFS('Demand Projection'!$D$2:$D$169,'Demand Projection'!$B$2:$B$169,Capacity!$A$3,'Demand Projection'!$C$2:$C$169,"&lt;="&amp;F22))/Capacity!$B$3+(SUMIFS($D$2:$D$70,$B$2:$B$70,Capacity!$A$4,$F$2:$F$70,"&lt;="&amp;F22)-SUMIFS('Demand Projection'!$D$2:$D$169,'Demand Projection'!$B$2:$B$169,Capacity!$A$4,'Demand Projection'!$C$2:$C$169,"&lt;="&amp;F22))/Capacity!$B$4+(SUMIFS($D$2:$D$70,$B$2:$B$70,Capacity!$A$5,$F$2:$F$70,"&lt;="&amp;F22)-SUMIFS('Demand Projection'!$D$2:$D$169,'Demand Projection'!$B$2:$B$169,Capacity!$A$5,'Demand Projection'!$C$2:$C$169,"&lt;="&amp;F22))/Capacity!$B$5+(SUMIFS($D$2:$D$70,$B$2:$B$70,Capacity!$A$6,$F$2:$F$70,"&lt;="&amp;F22)-SUMIFS('Demand Projection'!$D$2:$D$169,'Demand Projection'!$B$2:$B$169,Capacity!$A$6,'Demand Projection'!$C$2:$C$169,"&lt;="&amp;F22))/Capacity!$B$6+(SUMIFS($D$2:$D$70,$B$2:$B$70,Capacity!$A$7,$F$2:$F$70,"&lt;="&amp;F22)-SUMIFS('Demand Projection'!$D$2:$D$169,'Demand Projection'!$B$2:$B$169,Capacity!$A$7,'Demand Projection'!$C$2:$C$169,"&lt;="&amp;F22))/Capacity!$B$7,2)</f>
        <v>1</v>
      </c>
    </row>
    <row r="23" customFormat="false" ht="15" hidden="false" customHeight="false" outlineLevel="0" collapsed="false">
      <c r="A23" s="0" t="n">
        <v>22</v>
      </c>
      <c r="B23" s="0" t="str">
        <f aca="false">INDEX(Helper!$B$2:$B$169,MATCH(A23-5,Helper!$K$2:$K$169,0))</f>
        <v>SKU PROD A</v>
      </c>
      <c r="C23" s="2" t="n">
        <f aca="false">INDEX(Helper!$C$2:$C$169,MATCH(A23-5,Helper!$K$2:$K$169,0))</f>
        <v>46115</v>
      </c>
      <c r="D23" s="0" t="n">
        <f aca="false">INDEX(Helper!$I$2:$I$169,MATCH(A23-5,Helper!$K$2:$K$169,0))</f>
        <v>2147</v>
      </c>
      <c r="E23" s="0" t="s">
        <v>17</v>
      </c>
      <c r="F23" s="2" t="n">
        <f aca="false">C23+3</f>
        <v>46118</v>
      </c>
      <c r="G23" s="3" t="n">
        <f aca="false">ROUND((SUMIFS($D$2:$D$70,$B$2:$B$70,Capacity!$A$3,$F$2:$F$70,"&lt;="&amp;F23)-SUMIFS('Demand Projection'!$D$2:$D$169,'Demand Projection'!$B$2:$B$169,Capacity!$A$3,'Demand Projection'!$C$2:$C$169,"&lt;="&amp;F23))/Capacity!$B$3+(SUMIFS($D$2:$D$70,$B$2:$B$70,Capacity!$A$4,$F$2:$F$70,"&lt;="&amp;F23)-SUMIFS('Demand Projection'!$D$2:$D$169,'Demand Projection'!$B$2:$B$169,Capacity!$A$4,'Demand Projection'!$C$2:$C$169,"&lt;="&amp;F23))/Capacity!$B$4+(SUMIFS($D$2:$D$70,$B$2:$B$70,Capacity!$A$5,$F$2:$F$70,"&lt;="&amp;F23)-SUMIFS('Demand Projection'!$D$2:$D$169,'Demand Projection'!$B$2:$B$169,Capacity!$A$5,'Demand Projection'!$C$2:$C$169,"&lt;="&amp;F23))/Capacity!$B$5+(SUMIFS($D$2:$D$70,$B$2:$B$70,Capacity!$A$6,$F$2:$F$70,"&lt;="&amp;F23)-SUMIFS('Demand Projection'!$D$2:$D$169,'Demand Projection'!$B$2:$B$169,Capacity!$A$6,'Demand Projection'!$C$2:$C$169,"&lt;="&amp;F23))/Capacity!$B$6+(SUMIFS($D$2:$D$70,$B$2:$B$70,Capacity!$A$7,$F$2:$F$70,"&lt;="&amp;F23)-SUMIFS('Demand Projection'!$D$2:$D$169,'Demand Projection'!$B$2:$B$169,Capacity!$A$7,'Demand Projection'!$C$2:$C$169,"&lt;="&amp;F23))/Capacity!$B$7,2)</f>
        <v>0.95</v>
      </c>
    </row>
    <row r="24" customFormat="false" ht="15" hidden="false" customHeight="false" outlineLevel="0" collapsed="false">
      <c r="A24" s="0" t="n">
        <v>23</v>
      </c>
      <c r="B24" s="0" t="str">
        <f aca="false">INDEX(Helper!$B$2:$B$169,MATCH(A24-5,Helper!$K$2:$K$169,0))</f>
        <v>SKU PROD B</v>
      </c>
      <c r="C24" s="2" t="n">
        <f aca="false">INDEX(Helper!$C$2:$C$169,MATCH(A24-5,Helper!$K$2:$K$169,0))</f>
        <v>46115</v>
      </c>
      <c r="D24" s="0" t="n">
        <f aca="false">INDEX(Helper!$I$2:$I$169,MATCH(A24-5,Helper!$K$2:$K$169,0))</f>
        <v>6947</v>
      </c>
      <c r="E24" s="0" t="s">
        <v>17</v>
      </c>
      <c r="F24" s="2" t="n">
        <f aca="false">C24+3</f>
        <v>46118</v>
      </c>
      <c r="G24" s="3" t="n">
        <f aca="false">ROUND((SUMIFS($D$2:$D$70,$B$2:$B$70,Capacity!$A$3,$F$2:$F$70,"&lt;="&amp;F24)-SUMIFS('Demand Projection'!$D$2:$D$169,'Demand Projection'!$B$2:$B$169,Capacity!$A$3,'Demand Projection'!$C$2:$C$169,"&lt;="&amp;F24))/Capacity!$B$3+(SUMIFS($D$2:$D$70,$B$2:$B$70,Capacity!$A$4,$F$2:$F$70,"&lt;="&amp;F24)-SUMIFS('Demand Projection'!$D$2:$D$169,'Demand Projection'!$B$2:$B$169,Capacity!$A$4,'Demand Projection'!$C$2:$C$169,"&lt;="&amp;F24))/Capacity!$B$4+(SUMIFS($D$2:$D$70,$B$2:$B$70,Capacity!$A$5,$F$2:$F$70,"&lt;="&amp;F24)-SUMIFS('Demand Projection'!$D$2:$D$169,'Demand Projection'!$B$2:$B$169,Capacity!$A$5,'Demand Projection'!$C$2:$C$169,"&lt;="&amp;F24))/Capacity!$B$5+(SUMIFS($D$2:$D$70,$B$2:$B$70,Capacity!$A$6,$F$2:$F$70,"&lt;="&amp;F24)-SUMIFS('Demand Projection'!$D$2:$D$169,'Demand Projection'!$B$2:$B$169,Capacity!$A$6,'Demand Projection'!$C$2:$C$169,"&lt;="&amp;F24))/Capacity!$B$6+(SUMIFS($D$2:$D$70,$B$2:$B$70,Capacity!$A$7,$F$2:$F$70,"&lt;="&amp;F24)-SUMIFS('Demand Projection'!$D$2:$D$169,'Demand Projection'!$B$2:$B$169,Capacity!$A$7,'Demand Projection'!$C$2:$C$169,"&lt;="&amp;F24))/Capacity!$B$7,2)</f>
        <v>0.95</v>
      </c>
    </row>
    <row r="25" customFormat="false" ht="15" hidden="false" customHeight="false" outlineLevel="0" collapsed="false">
      <c r="A25" s="0" t="n">
        <v>24</v>
      </c>
      <c r="B25" s="0" t="str">
        <f aca="false">INDEX(Helper!$B$2:$B$169,MATCH(A25-5,Helper!$K$2:$K$169,0))</f>
        <v>SKU PROD A</v>
      </c>
      <c r="C25" s="2" t="n">
        <f aca="false">INDEX(Helper!$C$2:$C$169,MATCH(A25-5,Helper!$K$2:$K$169,0))</f>
        <v>46116</v>
      </c>
      <c r="D25" s="0" t="n">
        <f aca="false">INDEX(Helper!$I$2:$I$169,MATCH(A25-5,Helper!$K$2:$K$169,0))</f>
        <v>2570</v>
      </c>
      <c r="E25" s="0" t="s">
        <v>17</v>
      </c>
      <c r="F25" s="2" t="n">
        <f aca="false">C25+3</f>
        <v>46119</v>
      </c>
      <c r="G25" s="3" t="n">
        <f aca="false">ROUND((SUMIFS($D$2:$D$70,$B$2:$B$70,Capacity!$A$3,$F$2:$F$70,"&lt;="&amp;F25)-SUMIFS('Demand Projection'!$D$2:$D$169,'Demand Projection'!$B$2:$B$169,Capacity!$A$3,'Demand Projection'!$C$2:$C$169,"&lt;="&amp;F25))/Capacity!$B$3+(SUMIFS($D$2:$D$70,$B$2:$B$70,Capacity!$A$4,$F$2:$F$70,"&lt;="&amp;F25)-SUMIFS('Demand Projection'!$D$2:$D$169,'Demand Projection'!$B$2:$B$169,Capacity!$A$4,'Demand Projection'!$C$2:$C$169,"&lt;="&amp;F25))/Capacity!$B$4+(SUMIFS($D$2:$D$70,$B$2:$B$70,Capacity!$A$5,$F$2:$F$70,"&lt;="&amp;F25)-SUMIFS('Demand Projection'!$D$2:$D$169,'Demand Projection'!$B$2:$B$169,Capacity!$A$5,'Demand Projection'!$C$2:$C$169,"&lt;="&amp;F25))/Capacity!$B$5+(SUMIFS($D$2:$D$70,$B$2:$B$70,Capacity!$A$6,$F$2:$F$70,"&lt;="&amp;F25)-SUMIFS('Demand Projection'!$D$2:$D$169,'Demand Projection'!$B$2:$B$169,Capacity!$A$6,'Demand Projection'!$C$2:$C$169,"&lt;="&amp;F25))/Capacity!$B$6+(SUMIFS($D$2:$D$70,$B$2:$B$70,Capacity!$A$7,$F$2:$F$70,"&lt;="&amp;F25)-SUMIFS('Demand Projection'!$D$2:$D$169,'Demand Projection'!$B$2:$B$169,Capacity!$A$7,'Demand Projection'!$C$2:$C$169,"&lt;="&amp;F25))/Capacity!$B$7,2)</f>
        <v>1.1</v>
      </c>
    </row>
    <row r="26" customFormat="false" ht="15" hidden="false" customHeight="false" outlineLevel="0" collapsed="false">
      <c r="A26" s="0" t="n">
        <v>25</v>
      </c>
      <c r="B26" s="0" t="str">
        <f aca="false">INDEX(Helper!$B$2:$B$169,MATCH(A26-5,Helper!$K$2:$K$169,0))</f>
        <v>SKU PROD C</v>
      </c>
      <c r="C26" s="2" t="n">
        <f aca="false">INDEX(Helper!$C$2:$C$169,MATCH(A26-5,Helper!$K$2:$K$169,0))</f>
        <v>46117</v>
      </c>
      <c r="D26" s="0" t="n">
        <f aca="false">INDEX(Helper!$I$2:$I$169,MATCH(A26-5,Helper!$K$2:$K$169,0))</f>
        <v>1824</v>
      </c>
      <c r="E26" s="0" t="s">
        <v>17</v>
      </c>
      <c r="F26" s="2" t="n">
        <f aca="false">C26+3</f>
        <v>46120</v>
      </c>
      <c r="G26" s="3" t="n">
        <f aca="false">ROUND((SUMIFS($D$2:$D$70,$B$2:$B$70,Capacity!$A$3,$F$2:$F$70,"&lt;="&amp;F26)-SUMIFS('Demand Projection'!$D$2:$D$169,'Demand Projection'!$B$2:$B$169,Capacity!$A$3,'Demand Projection'!$C$2:$C$169,"&lt;="&amp;F26))/Capacity!$B$3+(SUMIFS($D$2:$D$70,$B$2:$B$70,Capacity!$A$4,$F$2:$F$70,"&lt;="&amp;F26)-SUMIFS('Demand Projection'!$D$2:$D$169,'Demand Projection'!$B$2:$B$169,Capacity!$A$4,'Demand Projection'!$C$2:$C$169,"&lt;="&amp;F26))/Capacity!$B$4+(SUMIFS($D$2:$D$70,$B$2:$B$70,Capacity!$A$5,$F$2:$F$70,"&lt;="&amp;F26)-SUMIFS('Demand Projection'!$D$2:$D$169,'Demand Projection'!$B$2:$B$169,Capacity!$A$5,'Demand Projection'!$C$2:$C$169,"&lt;="&amp;F26))/Capacity!$B$5+(SUMIFS($D$2:$D$70,$B$2:$B$70,Capacity!$A$6,$F$2:$F$70,"&lt;="&amp;F26)-SUMIFS('Demand Projection'!$D$2:$D$169,'Demand Projection'!$B$2:$B$169,Capacity!$A$6,'Demand Projection'!$C$2:$C$169,"&lt;="&amp;F26))/Capacity!$B$6+(SUMIFS($D$2:$D$70,$B$2:$B$70,Capacity!$A$7,$F$2:$F$70,"&lt;="&amp;F26)-SUMIFS('Demand Projection'!$D$2:$D$169,'Demand Projection'!$B$2:$B$169,Capacity!$A$7,'Demand Projection'!$C$2:$C$169,"&lt;="&amp;F26))/Capacity!$B$7,2)</f>
        <v>1.22</v>
      </c>
    </row>
    <row r="27" customFormat="false" ht="15" hidden="false" customHeight="false" outlineLevel="0" collapsed="false">
      <c r="A27" s="0" t="n">
        <v>26</v>
      </c>
      <c r="B27" s="0" t="str">
        <f aca="false">INDEX(Helper!$B$2:$B$169,MATCH(A27-5,Helper!$K$2:$K$169,0))</f>
        <v>SKU PROD C</v>
      </c>
      <c r="C27" s="2" t="n">
        <f aca="false">INDEX(Helper!$C$2:$C$169,MATCH(A27-5,Helper!$K$2:$K$169,0))</f>
        <v>46132</v>
      </c>
      <c r="D27" s="0" t="n">
        <f aca="false">INDEX(Helper!$I$2:$I$169,MATCH(A27-5,Helper!$K$2:$K$169,0))</f>
        <v>1358</v>
      </c>
      <c r="E27" s="0" t="s">
        <v>17</v>
      </c>
      <c r="F27" s="2" t="n">
        <f aca="false">C27+3</f>
        <v>46135</v>
      </c>
      <c r="G27" s="3" t="n">
        <f aca="false">ROUND((SUMIFS($D$2:$D$70,$B$2:$B$70,Capacity!$A$3,$F$2:$F$70,"&lt;="&amp;F27)-SUMIFS('Demand Projection'!$D$2:$D$169,'Demand Projection'!$B$2:$B$169,Capacity!$A$3,'Demand Projection'!$C$2:$C$169,"&lt;="&amp;F27))/Capacity!$B$3+(SUMIFS($D$2:$D$70,$B$2:$B$70,Capacity!$A$4,$F$2:$F$70,"&lt;="&amp;F27)-SUMIFS('Demand Projection'!$D$2:$D$169,'Demand Projection'!$B$2:$B$169,Capacity!$A$4,'Demand Projection'!$C$2:$C$169,"&lt;="&amp;F27))/Capacity!$B$4+(SUMIFS($D$2:$D$70,$B$2:$B$70,Capacity!$A$5,$F$2:$F$70,"&lt;="&amp;F27)-SUMIFS('Demand Projection'!$D$2:$D$169,'Demand Projection'!$B$2:$B$169,Capacity!$A$5,'Demand Projection'!$C$2:$C$169,"&lt;="&amp;F27))/Capacity!$B$5+(SUMIFS($D$2:$D$70,$B$2:$B$70,Capacity!$A$6,$F$2:$F$70,"&lt;="&amp;F27)-SUMIFS('Demand Projection'!$D$2:$D$169,'Demand Projection'!$B$2:$B$169,Capacity!$A$6,'Demand Projection'!$C$2:$C$169,"&lt;="&amp;F27))/Capacity!$B$6+(SUMIFS($D$2:$D$70,$B$2:$B$70,Capacity!$A$7,$F$2:$F$70,"&lt;="&amp;F27)-SUMIFS('Demand Projection'!$D$2:$D$169,'Demand Projection'!$B$2:$B$169,Capacity!$A$7,'Demand Projection'!$C$2:$C$169,"&lt;="&amp;F27))/Capacity!$B$7,2)</f>
        <v>1.06</v>
      </c>
    </row>
    <row r="28" customFormat="false" ht="15" hidden="false" customHeight="false" outlineLevel="0" collapsed="false">
      <c r="A28" s="0" t="n">
        <v>27</v>
      </c>
      <c r="B28" s="0" t="str">
        <f aca="false">INDEX(Helper!$B$2:$B$169,MATCH(A28-5,Helper!$K$2:$K$169,0))</f>
        <v>SKU PROD D</v>
      </c>
      <c r="C28" s="2" t="n">
        <f aca="false">INDEX(Helper!$C$2:$C$169,MATCH(A28-5,Helper!$K$2:$K$169,0))</f>
        <v>46140</v>
      </c>
      <c r="D28" s="0" t="n">
        <f aca="false">INDEX(Helper!$I$2:$I$169,MATCH(A28-5,Helper!$K$2:$K$169,0))</f>
        <v>4647</v>
      </c>
      <c r="E28" s="0" t="s">
        <v>17</v>
      </c>
      <c r="F28" s="2" t="n">
        <f aca="false">C28+3</f>
        <v>46143</v>
      </c>
      <c r="G28" s="3" t="n">
        <f aca="false">ROUND((SUMIFS($D$2:$D$70,$B$2:$B$70,Capacity!$A$3,$F$2:$F$70,"&lt;="&amp;F28)-SUMIFS('Demand Projection'!$D$2:$D$169,'Demand Projection'!$B$2:$B$169,Capacity!$A$3,'Demand Projection'!$C$2:$C$169,"&lt;="&amp;F28))/Capacity!$B$3+(SUMIFS($D$2:$D$70,$B$2:$B$70,Capacity!$A$4,$F$2:$F$70,"&lt;="&amp;F28)-SUMIFS('Demand Projection'!$D$2:$D$169,'Demand Projection'!$B$2:$B$169,Capacity!$A$4,'Demand Projection'!$C$2:$C$169,"&lt;="&amp;F28))/Capacity!$B$4+(SUMIFS($D$2:$D$70,$B$2:$B$70,Capacity!$A$5,$F$2:$F$70,"&lt;="&amp;F28)-SUMIFS('Demand Projection'!$D$2:$D$169,'Demand Projection'!$B$2:$B$169,Capacity!$A$5,'Demand Projection'!$C$2:$C$169,"&lt;="&amp;F28))/Capacity!$B$5+(SUMIFS($D$2:$D$70,$B$2:$B$70,Capacity!$A$6,$F$2:$F$70,"&lt;="&amp;F28)-SUMIFS('Demand Projection'!$D$2:$D$169,'Demand Projection'!$B$2:$B$169,Capacity!$A$6,'Demand Projection'!$C$2:$C$169,"&lt;="&amp;F28))/Capacity!$B$6+(SUMIFS($D$2:$D$70,$B$2:$B$70,Capacity!$A$7,$F$2:$F$70,"&lt;="&amp;F28)-SUMIFS('Demand Projection'!$D$2:$D$169,'Demand Projection'!$B$2:$B$169,Capacity!$A$7,'Demand Projection'!$C$2:$C$169,"&lt;="&amp;F28))/Capacity!$B$7,2)</f>
        <v>1.17</v>
      </c>
    </row>
    <row r="29" customFormat="false" ht="15" hidden="false" customHeight="false" outlineLevel="0" collapsed="false">
      <c r="A29" s="0" t="n">
        <v>28</v>
      </c>
      <c r="B29" s="0" t="str">
        <f aca="false">INDEX(Helper!$B$2:$B$169,MATCH(A29-5,Helper!$K$2:$K$169,0))</f>
        <v>SKU PROD E</v>
      </c>
      <c r="C29" s="2" t="n">
        <f aca="false">INDEX(Helper!$C$2:$C$169,MATCH(A29-5,Helper!$K$2:$K$169,0))</f>
        <v>46140</v>
      </c>
      <c r="D29" s="0" t="n">
        <f aca="false">INDEX(Helper!$I$2:$I$169,MATCH(A29-5,Helper!$K$2:$K$169,0))</f>
        <v>2497</v>
      </c>
      <c r="E29" s="0" t="s">
        <v>17</v>
      </c>
      <c r="F29" s="2" t="n">
        <f aca="false">C29+3</f>
        <v>46143</v>
      </c>
      <c r="G29" s="3" t="n">
        <f aca="false">ROUND((SUMIFS($D$2:$D$70,$B$2:$B$70,Capacity!$A$3,$F$2:$F$70,"&lt;="&amp;F29)-SUMIFS('Demand Projection'!$D$2:$D$169,'Demand Projection'!$B$2:$B$169,Capacity!$A$3,'Demand Projection'!$C$2:$C$169,"&lt;="&amp;F29))/Capacity!$B$3+(SUMIFS($D$2:$D$70,$B$2:$B$70,Capacity!$A$4,$F$2:$F$70,"&lt;="&amp;F29)-SUMIFS('Demand Projection'!$D$2:$D$169,'Demand Projection'!$B$2:$B$169,Capacity!$A$4,'Demand Projection'!$C$2:$C$169,"&lt;="&amp;F29))/Capacity!$B$4+(SUMIFS($D$2:$D$70,$B$2:$B$70,Capacity!$A$5,$F$2:$F$70,"&lt;="&amp;F29)-SUMIFS('Demand Projection'!$D$2:$D$169,'Demand Projection'!$B$2:$B$169,Capacity!$A$5,'Demand Projection'!$C$2:$C$169,"&lt;="&amp;F29))/Capacity!$B$5+(SUMIFS($D$2:$D$70,$B$2:$B$70,Capacity!$A$6,$F$2:$F$70,"&lt;="&amp;F29)-SUMIFS('Demand Projection'!$D$2:$D$169,'Demand Projection'!$B$2:$B$169,Capacity!$A$6,'Demand Projection'!$C$2:$C$169,"&lt;="&amp;F29))/Capacity!$B$6+(SUMIFS($D$2:$D$70,$B$2:$B$70,Capacity!$A$7,$F$2:$F$70,"&lt;="&amp;F29)-SUMIFS('Demand Projection'!$D$2:$D$169,'Demand Projection'!$B$2:$B$169,Capacity!$A$7,'Demand Projection'!$C$2:$C$169,"&lt;="&amp;F29))/Capacity!$B$7,2)</f>
        <v>1.17</v>
      </c>
    </row>
    <row r="30" customFormat="false" ht="15" hidden="false" customHeight="false" outlineLevel="0" collapsed="false">
      <c r="A30" s="0" t="n">
        <v>29</v>
      </c>
      <c r="B30" s="0" t="str">
        <f aca="false">INDEX(Helper!$B$2:$B$169,MATCH(A30-5,Helper!$K$2:$K$169,0))</f>
        <v>SKU PROD B</v>
      </c>
      <c r="C30" s="2" t="n">
        <f aca="false">INDEX(Helper!$C$2:$C$169,MATCH(A30-5,Helper!$K$2:$K$169,0))</f>
        <v>46145</v>
      </c>
      <c r="D30" s="0" t="n">
        <f aca="false">INDEX(Helper!$I$2:$I$169,MATCH(A30-5,Helper!$K$2:$K$169,0))</f>
        <v>6647</v>
      </c>
      <c r="E30" s="0" t="s">
        <v>17</v>
      </c>
      <c r="F30" s="2" t="n">
        <f aca="false">C30+3</f>
        <v>46148</v>
      </c>
      <c r="G30" s="3" t="n">
        <f aca="false">ROUND((SUMIFS($D$2:$D$70,$B$2:$B$70,Capacity!$A$3,$F$2:$F$70,"&lt;="&amp;F30)-SUMIFS('Demand Projection'!$D$2:$D$169,'Demand Projection'!$B$2:$B$169,Capacity!$A$3,'Demand Projection'!$C$2:$C$169,"&lt;="&amp;F30))/Capacity!$B$3+(SUMIFS($D$2:$D$70,$B$2:$B$70,Capacity!$A$4,$F$2:$F$70,"&lt;="&amp;F30)-SUMIFS('Demand Projection'!$D$2:$D$169,'Demand Projection'!$B$2:$B$169,Capacity!$A$4,'Demand Projection'!$C$2:$C$169,"&lt;="&amp;F30))/Capacity!$B$4+(SUMIFS($D$2:$D$70,$B$2:$B$70,Capacity!$A$5,$F$2:$F$70,"&lt;="&amp;F30)-SUMIFS('Demand Projection'!$D$2:$D$169,'Demand Projection'!$B$2:$B$169,Capacity!$A$5,'Demand Projection'!$C$2:$C$169,"&lt;="&amp;F30))/Capacity!$B$5+(SUMIFS($D$2:$D$70,$B$2:$B$70,Capacity!$A$6,$F$2:$F$70,"&lt;="&amp;F30)-SUMIFS('Demand Projection'!$D$2:$D$169,'Demand Projection'!$B$2:$B$169,Capacity!$A$6,'Demand Projection'!$C$2:$C$169,"&lt;="&amp;F30))/Capacity!$B$6+(SUMIFS($D$2:$D$70,$B$2:$B$70,Capacity!$A$7,$F$2:$F$70,"&lt;="&amp;F30)-SUMIFS('Demand Projection'!$D$2:$D$169,'Demand Projection'!$B$2:$B$169,Capacity!$A$7,'Demand Projection'!$C$2:$C$169,"&lt;="&amp;F30))/Capacity!$B$7,2)</f>
        <v>0.92</v>
      </c>
    </row>
    <row r="31" customFormat="false" ht="15" hidden="false" customHeight="false" outlineLevel="0" collapsed="false">
      <c r="A31" s="0" t="n">
        <v>30</v>
      </c>
      <c r="B31" s="0" t="str">
        <f aca="false">INDEX(Helper!$B$2:$B$169,MATCH(A31-5,Helper!$K$2:$K$169,0))</f>
        <v>SKU PROD A</v>
      </c>
      <c r="C31" s="2" t="n">
        <f aca="false">INDEX(Helper!$C$2:$C$169,MATCH(A31-5,Helper!$K$2:$K$169,0))</f>
        <v>46149</v>
      </c>
      <c r="D31" s="0" t="n">
        <f aca="false">INDEX(Helper!$I$2:$I$169,MATCH(A31-5,Helper!$K$2:$K$169,0))</f>
        <v>2354</v>
      </c>
      <c r="E31" s="0" t="s">
        <v>17</v>
      </c>
      <c r="F31" s="2" t="n">
        <f aca="false">C31+3</f>
        <v>46152</v>
      </c>
      <c r="G31" s="3" t="n">
        <f aca="false">ROUND((SUMIFS($D$2:$D$70,$B$2:$B$70,Capacity!$A$3,$F$2:$F$70,"&lt;="&amp;F31)-SUMIFS('Demand Projection'!$D$2:$D$169,'Demand Projection'!$B$2:$B$169,Capacity!$A$3,'Demand Projection'!$C$2:$C$169,"&lt;="&amp;F31))/Capacity!$B$3+(SUMIFS($D$2:$D$70,$B$2:$B$70,Capacity!$A$4,$F$2:$F$70,"&lt;="&amp;F31)-SUMIFS('Demand Projection'!$D$2:$D$169,'Demand Projection'!$B$2:$B$169,Capacity!$A$4,'Demand Projection'!$C$2:$C$169,"&lt;="&amp;F31))/Capacity!$B$4+(SUMIFS($D$2:$D$70,$B$2:$B$70,Capacity!$A$5,$F$2:$F$70,"&lt;="&amp;F31)-SUMIFS('Demand Projection'!$D$2:$D$169,'Demand Projection'!$B$2:$B$169,Capacity!$A$5,'Demand Projection'!$C$2:$C$169,"&lt;="&amp;F31))/Capacity!$B$5+(SUMIFS($D$2:$D$70,$B$2:$B$70,Capacity!$A$6,$F$2:$F$70,"&lt;="&amp;F31)-SUMIFS('Demand Projection'!$D$2:$D$169,'Demand Projection'!$B$2:$B$169,Capacity!$A$6,'Demand Projection'!$C$2:$C$169,"&lt;="&amp;F31))/Capacity!$B$6+(SUMIFS($D$2:$D$70,$B$2:$B$70,Capacity!$A$7,$F$2:$F$70,"&lt;="&amp;F31)-SUMIFS('Demand Projection'!$D$2:$D$169,'Demand Projection'!$B$2:$B$169,Capacity!$A$7,'Demand Projection'!$C$2:$C$169,"&lt;="&amp;F31))/Capacity!$B$7,2)</f>
        <v>1.02</v>
      </c>
    </row>
    <row r="32" customFormat="false" ht="15" hidden="false" customHeight="false" outlineLevel="0" collapsed="false">
      <c r="A32" s="0" t="n">
        <v>31</v>
      </c>
      <c r="B32" s="0" t="str">
        <f aca="false">INDEX(Helper!$B$2:$B$169,MATCH(A32-5,Helper!$K$2:$K$169,0))</f>
        <v>SKU PROD C</v>
      </c>
      <c r="C32" s="2" t="n">
        <f aca="false">INDEX(Helper!$C$2:$C$169,MATCH(A32-5,Helper!$K$2:$K$169,0))</f>
        <v>46151</v>
      </c>
      <c r="D32" s="0" t="n">
        <f aca="false">INDEX(Helper!$I$2:$I$169,MATCH(A32-5,Helper!$K$2:$K$169,0))</f>
        <v>1406</v>
      </c>
      <c r="E32" s="0" t="s">
        <v>17</v>
      </c>
      <c r="F32" s="2" t="n">
        <f aca="false">C32+3</f>
        <v>46154</v>
      </c>
      <c r="G32" s="3" t="n">
        <f aca="false">ROUND((SUMIFS($D$2:$D$70,$B$2:$B$70,Capacity!$A$3,$F$2:$F$70,"&lt;="&amp;F32)-SUMIFS('Demand Projection'!$D$2:$D$169,'Demand Projection'!$B$2:$B$169,Capacity!$A$3,'Demand Projection'!$C$2:$C$169,"&lt;="&amp;F32))/Capacity!$B$3+(SUMIFS($D$2:$D$70,$B$2:$B$70,Capacity!$A$4,$F$2:$F$70,"&lt;="&amp;F32)-SUMIFS('Demand Projection'!$D$2:$D$169,'Demand Projection'!$B$2:$B$169,Capacity!$A$4,'Demand Projection'!$C$2:$C$169,"&lt;="&amp;F32))/Capacity!$B$4+(SUMIFS($D$2:$D$70,$B$2:$B$70,Capacity!$A$5,$F$2:$F$70,"&lt;="&amp;F32)-SUMIFS('Demand Projection'!$D$2:$D$169,'Demand Projection'!$B$2:$B$169,Capacity!$A$5,'Demand Projection'!$C$2:$C$169,"&lt;="&amp;F32))/Capacity!$B$5+(SUMIFS($D$2:$D$70,$B$2:$B$70,Capacity!$A$6,$F$2:$F$70,"&lt;="&amp;F32)-SUMIFS('Demand Projection'!$D$2:$D$169,'Demand Projection'!$B$2:$B$169,Capacity!$A$6,'Demand Projection'!$C$2:$C$169,"&lt;="&amp;F32))/Capacity!$B$6+(SUMIFS($D$2:$D$70,$B$2:$B$70,Capacity!$A$7,$F$2:$F$70,"&lt;="&amp;F32)-SUMIFS('Demand Projection'!$D$2:$D$169,'Demand Projection'!$B$2:$B$169,Capacity!$A$7,'Demand Projection'!$C$2:$C$169,"&lt;="&amp;F32))/Capacity!$B$7,2)</f>
        <v>1.09</v>
      </c>
    </row>
    <row r="33" customFormat="false" ht="15" hidden="false" customHeight="false" outlineLevel="0" collapsed="false">
      <c r="A33" s="0" t="n">
        <v>32</v>
      </c>
      <c r="B33" s="0" t="str">
        <f aca="false">INDEX(Helper!$B$2:$B$169,MATCH(A33-5,Helper!$K$2:$K$169,0))</f>
        <v>SKU PROD D</v>
      </c>
      <c r="C33" s="2" t="n">
        <f aca="false">INDEX(Helper!$C$2:$C$169,MATCH(A33-5,Helper!$K$2:$K$169,0))</f>
        <v>46170</v>
      </c>
      <c r="D33" s="0" t="n">
        <f aca="false">INDEX(Helper!$I$2:$I$169,MATCH(A33-5,Helper!$K$2:$K$169,0))</f>
        <v>4727</v>
      </c>
      <c r="E33" s="0" t="s">
        <v>17</v>
      </c>
      <c r="F33" s="2" t="n">
        <f aca="false">C33+3</f>
        <v>46173</v>
      </c>
      <c r="G33" s="3" t="n">
        <f aca="false">ROUND((SUMIFS($D$2:$D$70,$B$2:$B$70,Capacity!$A$3,$F$2:$F$70,"&lt;="&amp;F33)-SUMIFS('Demand Projection'!$D$2:$D$169,'Demand Projection'!$B$2:$B$169,Capacity!$A$3,'Demand Projection'!$C$2:$C$169,"&lt;="&amp;F33))/Capacity!$B$3+(SUMIFS($D$2:$D$70,$B$2:$B$70,Capacity!$A$4,$F$2:$F$70,"&lt;="&amp;F33)-SUMIFS('Demand Projection'!$D$2:$D$169,'Demand Projection'!$B$2:$B$169,Capacity!$A$4,'Demand Projection'!$C$2:$C$169,"&lt;="&amp;F33))/Capacity!$B$4+(SUMIFS($D$2:$D$70,$B$2:$B$70,Capacity!$A$5,$F$2:$F$70,"&lt;="&amp;F33)-SUMIFS('Demand Projection'!$D$2:$D$169,'Demand Projection'!$B$2:$B$169,Capacity!$A$5,'Demand Projection'!$C$2:$C$169,"&lt;="&amp;F33))/Capacity!$B$5+(SUMIFS($D$2:$D$70,$B$2:$B$70,Capacity!$A$6,$F$2:$F$70,"&lt;="&amp;F33)-SUMIFS('Demand Projection'!$D$2:$D$169,'Demand Projection'!$B$2:$B$169,Capacity!$A$6,'Demand Projection'!$C$2:$C$169,"&lt;="&amp;F33))/Capacity!$B$6+(SUMIFS($D$2:$D$70,$B$2:$B$70,Capacity!$A$7,$F$2:$F$70,"&lt;="&amp;F33)-SUMIFS('Demand Projection'!$D$2:$D$169,'Demand Projection'!$B$2:$B$169,Capacity!$A$7,'Demand Projection'!$C$2:$C$169,"&lt;="&amp;F33))/Capacity!$B$7,2)</f>
        <v>1.01</v>
      </c>
    </row>
    <row r="34" customFormat="false" ht="15" hidden="false" customHeight="false" outlineLevel="0" collapsed="false">
      <c r="A34" s="0" t="n">
        <v>33</v>
      </c>
      <c r="B34" s="0" t="str">
        <f aca="false">INDEX(Helper!$B$2:$B$169,MATCH(A34-5,Helper!$K$2:$K$169,0))</f>
        <v>SKU PROD E</v>
      </c>
      <c r="C34" s="2" t="n">
        <f aca="false">INDEX(Helper!$C$2:$C$169,MATCH(A34-5,Helper!$K$2:$K$169,0))</f>
        <v>46170</v>
      </c>
      <c r="D34" s="0" t="n">
        <f aca="false">INDEX(Helper!$I$2:$I$169,MATCH(A34-5,Helper!$K$2:$K$169,0))</f>
        <v>2580</v>
      </c>
      <c r="E34" s="0" t="s">
        <v>17</v>
      </c>
      <c r="F34" s="2" t="n">
        <f aca="false">C34+3</f>
        <v>46173</v>
      </c>
      <c r="G34" s="3" t="n">
        <f aca="false">ROUND((SUMIFS($D$2:$D$70,$B$2:$B$70,Capacity!$A$3,$F$2:$F$70,"&lt;="&amp;F34)-SUMIFS('Demand Projection'!$D$2:$D$169,'Demand Projection'!$B$2:$B$169,Capacity!$A$3,'Demand Projection'!$C$2:$C$169,"&lt;="&amp;F34))/Capacity!$B$3+(SUMIFS($D$2:$D$70,$B$2:$B$70,Capacity!$A$4,$F$2:$F$70,"&lt;="&amp;F34)-SUMIFS('Demand Projection'!$D$2:$D$169,'Demand Projection'!$B$2:$B$169,Capacity!$A$4,'Demand Projection'!$C$2:$C$169,"&lt;="&amp;F34))/Capacity!$B$4+(SUMIFS($D$2:$D$70,$B$2:$B$70,Capacity!$A$5,$F$2:$F$70,"&lt;="&amp;F34)-SUMIFS('Demand Projection'!$D$2:$D$169,'Demand Projection'!$B$2:$B$169,Capacity!$A$5,'Demand Projection'!$C$2:$C$169,"&lt;="&amp;F34))/Capacity!$B$5+(SUMIFS($D$2:$D$70,$B$2:$B$70,Capacity!$A$6,$F$2:$F$70,"&lt;="&amp;F34)-SUMIFS('Demand Projection'!$D$2:$D$169,'Demand Projection'!$B$2:$B$169,Capacity!$A$6,'Demand Projection'!$C$2:$C$169,"&lt;="&amp;F34))/Capacity!$B$6+(SUMIFS($D$2:$D$70,$B$2:$B$70,Capacity!$A$7,$F$2:$F$70,"&lt;="&amp;F34)-SUMIFS('Demand Projection'!$D$2:$D$169,'Demand Projection'!$B$2:$B$169,Capacity!$A$7,'Demand Projection'!$C$2:$C$169,"&lt;="&amp;F34))/Capacity!$B$7,2)</f>
        <v>1.01</v>
      </c>
    </row>
    <row r="35" customFormat="false" ht="15" hidden="false" customHeight="false" outlineLevel="0" collapsed="false">
      <c r="A35" s="0" t="n">
        <v>34</v>
      </c>
      <c r="B35" s="0" t="str">
        <f aca="false">INDEX(Helper!$B$2:$B$169,MATCH(A35-5,Helper!$K$2:$K$169,0))</f>
        <v>SKU PROD A</v>
      </c>
      <c r="C35" s="2" t="n">
        <f aca="false">INDEX(Helper!$C$2:$C$169,MATCH(A35-5,Helper!$K$2:$K$169,0))</f>
        <v>46176</v>
      </c>
      <c r="D35" s="0" t="n">
        <f aca="false">INDEX(Helper!$I$2:$I$169,MATCH(A35-5,Helper!$K$2:$K$169,0))</f>
        <v>2043</v>
      </c>
      <c r="E35" s="0" t="s">
        <v>17</v>
      </c>
      <c r="F35" s="2" t="n">
        <f aca="false">C35+3</f>
        <v>46179</v>
      </c>
      <c r="G35" s="3" t="n">
        <f aca="false">ROUND((SUMIFS($D$2:$D$70,$B$2:$B$70,Capacity!$A$3,$F$2:$F$70,"&lt;="&amp;F35)-SUMIFS('Demand Projection'!$D$2:$D$169,'Demand Projection'!$B$2:$B$169,Capacity!$A$3,'Demand Projection'!$C$2:$C$169,"&lt;="&amp;F35))/Capacity!$B$3+(SUMIFS($D$2:$D$70,$B$2:$B$70,Capacity!$A$4,$F$2:$F$70,"&lt;="&amp;F35)-SUMIFS('Demand Projection'!$D$2:$D$169,'Demand Projection'!$B$2:$B$169,Capacity!$A$4,'Demand Projection'!$C$2:$C$169,"&lt;="&amp;F35))/Capacity!$B$4+(SUMIFS($D$2:$D$70,$B$2:$B$70,Capacity!$A$5,$F$2:$F$70,"&lt;="&amp;F35)-SUMIFS('Demand Projection'!$D$2:$D$169,'Demand Projection'!$B$2:$B$169,Capacity!$A$5,'Demand Projection'!$C$2:$C$169,"&lt;="&amp;F35))/Capacity!$B$5+(SUMIFS($D$2:$D$70,$B$2:$B$70,Capacity!$A$6,$F$2:$F$70,"&lt;="&amp;F35)-SUMIFS('Demand Projection'!$D$2:$D$169,'Demand Projection'!$B$2:$B$169,Capacity!$A$6,'Demand Projection'!$C$2:$C$169,"&lt;="&amp;F35))/Capacity!$B$6+(SUMIFS($D$2:$D$70,$B$2:$B$70,Capacity!$A$7,$F$2:$F$70,"&lt;="&amp;F35)-SUMIFS('Demand Projection'!$D$2:$D$169,'Demand Projection'!$B$2:$B$169,Capacity!$A$7,'Demand Projection'!$C$2:$C$169,"&lt;="&amp;F35))/Capacity!$B$7,2)</f>
        <v>0.97</v>
      </c>
    </row>
    <row r="36" customFormat="false" ht="15" hidden="false" customHeight="false" outlineLevel="0" collapsed="false">
      <c r="A36" s="0" t="n">
        <v>35</v>
      </c>
      <c r="B36" s="0" t="str">
        <f aca="false">INDEX(Helper!$B$2:$B$169,MATCH(A36-5,Helper!$K$2:$K$169,0))</f>
        <v>SKU PROD B</v>
      </c>
      <c r="C36" s="2" t="n">
        <f aca="false">INDEX(Helper!$C$2:$C$169,MATCH(A36-5,Helper!$K$2:$K$169,0))</f>
        <v>46176</v>
      </c>
      <c r="D36" s="0" t="n">
        <f aca="false">INDEX(Helper!$I$2:$I$169,MATCH(A36-5,Helper!$K$2:$K$169,0))</f>
        <v>6316</v>
      </c>
      <c r="E36" s="0" t="s">
        <v>17</v>
      </c>
      <c r="F36" s="2" t="n">
        <f aca="false">C36+3</f>
        <v>46179</v>
      </c>
      <c r="G36" s="3" t="n">
        <f aca="false">ROUND((SUMIFS($D$2:$D$70,$B$2:$B$70,Capacity!$A$3,$F$2:$F$70,"&lt;="&amp;F36)-SUMIFS('Demand Projection'!$D$2:$D$169,'Demand Projection'!$B$2:$B$169,Capacity!$A$3,'Demand Projection'!$C$2:$C$169,"&lt;="&amp;F36))/Capacity!$B$3+(SUMIFS($D$2:$D$70,$B$2:$B$70,Capacity!$A$4,$F$2:$F$70,"&lt;="&amp;F36)-SUMIFS('Demand Projection'!$D$2:$D$169,'Demand Projection'!$B$2:$B$169,Capacity!$A$4,'Demand Projection'!$C$2:$C$169,"&lt;="&amp;F36))/Capacity!$B$4+(SUMIFS($D$2:$D$70,$B$2:$B$70,Capacity!$A$5,$F$2:$F$70,"&lt;="&amp;F36)-SUMIFS('Demand Projection'!$D$2:$D$169,'Demand Projection'!$B$2:$B$169,Capacity!$A$5,'Demand Projection'!$C$2:$C$169,"&lt;="&amp;F36))/Capacity!$B$5+(SUMIFS($D$2:$D$70,$B$2:$B$70,Capacity!$A$6,$F$2:$F$70,"&lt;="&amp;F36)-SUMIFS('Demand Projection'!$D$2:$D$169,'Demand Projection'!$B$2:$B$169,Capacity!$A$6,'Demand Projection'!$C$2:$C$169,"&lt;="&amp;F36))/Capacity!$B$6+(SUMIFS($D$2:$D$70,$B$2:$B$70,Capacity!$A$7,$F$2:$F$70,"&lt;="&amp;F36)-SUMIFS('Demand Projection'!$D$2:$D$169,'Demand Projection'!$B$2:$B$169,Capacity!$A$7,'Demand Projection'!$C$2:$C$169,"&lt;="&amp;F36))/Capacity!$B$7,2)</f>
        <v>0.97</v>
      </c>
    </row>
    <row r="37" customFormat="false" ht="15" hidden="false" customHeight="false" outlineLevel="0" collapsed="false">
      <c r="A37" s="0" t="n">
        <v>36</v>
      </c>
      <c r="B37" s="0" t="str">
        <f aca="false">INDEX(Helper!$B$2:$B$169,MATCH(A37-5,Helper!$K$2:$K$169,0))</f>
        <v>SKU PROD A</v>
      </c>
      <c r="C37" s="2" t="n">
        <f aca="false">INDEX(Helper!$C$2:$C$169,MATCH(A37-5,Helper!$K$2:$K$169,0))</f>
        <v>46177</v>
      </c>
      <c r="D37" s="0" t="n">
        <f aca="false">INDEX(Helper!$I$2:$I$169,MATCH(A37-5,Helper!$K$2:$K$169,0))</f>
        <v>2425</v>
      </c>
      <c r="E37" s="0" t="s">
        <v>17</v>
      </c>
      <c r="F37" s="2" t="n">
        <f aca="false">C37+3</f>
        <v>46180</v>
      </c>
      <c r="G37" s="3" t="n">
        <f aca="false">ROUND((SUMIFS($D$2:$D$70,$B$2:$B$70,Capacity!$A$3,$F$2:$F$70,"&lt;="&amp;F37)-SUMIFS('Demand Projection'!$D$2:$D$169,'Demand Projection'!$B$2:$B$169,Capacity!$A$3,'Demand Projection'!$C$2:$C$169,"&lt;="&amp;F37))/Capacity!$B$3+(SUMIFS($D$2:$D$70,$B$2:$B$70,Capacity!$A$4,$F$2:$F$70,"&lt;="&amp;F37)-SUMIFS('Demand Projection'!$D$2:$D$169,'Demand Projection'!$B$2:$B$169,Capacity!$A$4,'Demand Projection'!$C$2:$C$169,"&lt;="&amp;F37))/Capacity!$B$4+(SUMIFS($D$2:$D$70,$B$2:$B$70,Capacity!$A$5,$F$2:$F$70,"&lt;="&amp;F37)-SUMIFS('Demand Projection'!$D$2:$D$169,'Demand Projection'!$B$2:$B$169,Capacity!$A$5,'Demand Projection'!$C$2:$C$169,"&lt;="&amp;F37))/Capacity!$B$5+(SUMIFS($D$2:$D$70,$B$2:$B$70,Capacity!$A$6,$F$2:$F$70,"&lt;="&amp;F37)-SUMIFS('Demand Projection'!$D$2:$D$169,'Demand Projection'!$B$2:$B$169,Capacity!$A$6,'Demand Projection'!$C$2:$C$169,"&lt;="&amp;F37))/Capacity!$B$6+(SUMIFS($D$2:$D$70,$B$2:$B$70,Capacity!$A$7,$F$2:$F$70,"&lt;="&amp;F37)-SUMIFS('Demand Projection'!$D$2:$D$169,'Demand Projection'!$B$2:$B$169,Capacity!$A$7,'Demand Projection'!$C$2:$C$169,"&lt;="&amp;F37))/Capacity!$B$7,2)</f>
        <v>1.12</v>
      </c>
    </row>
    <row r="38" customFormat="false" ht="15" hidden="false" customHeight="false" outlineLevel="0" collapsed="false">
      <c r="A38" s="0" t="n">
        <v>37</v>
      </c>
      <c r="B38" s="0" t="str">
        <f aca="false">INDEX(Helper!$B$2:$B$169,MATCH(A38-5,Helper!$K$2:$K$169,0))</f>
        <v>SKU PROD C</v>
      </c>
      <c r="C38" s="2" t="n">
        <f aca="false">INDEX(Helper!$C$2:$C$169,MATCH(A38-5,Helper!$K$2:$K$169,0))</f>
        <v>46178</v>
      </c>
      <c r="D38" s="0" t="n">
        <f aca="false">INDEX(Helper!$I$2:$I$169,MATCH(A38-5,Helper!$K$2:$K$169,0))</f>
        <v>1648</v>
      </c>
      <c r="E38" s="0" t="s">
        <v>17</v>
      </c>
      <c r="F38" s="2" t="n">
        <f aca="false">C38+3</f>
        <v>46181</v>
      </c>
      <c r="G38" s="3" t="n">
        <f aca="false">ROUND((SUMIFS($D$2:$D$70,$B$2:$B$70,Capacity!$A$3,$F$2:$F$70,"&lt;="&amp;F38)-SUMIFS('Demand Projection'!$D$2:$D$169,'Demand Projection'!$B$2:$B$169,Capacity!$A$3,'Demand Projection'!$C$2:$C$169,"&lt;="&amp;F38))/Capacity!$B$3+(SUMIFS($D$2:$D$70,$B$2:$B$70,Capacity!$A$4,$F$2:$F$70,"&lt;="&amp;F38)-SUMIFS('Demand Projection'!$D$2:$D$169,'Demand Projection'!$B$2:$B$169,Capacity!$A$4,'Demand Projection'!$C$2:$C$169,"&lt;="&amp;F38))/Capacity!$B$4+(SUMIFS($D$2:$D$70,$B$2:$B$70,Capacity!$A$5,$F$2:$F$70,"&lt;="&amp;F38)-SUMIFS('Demand Projection'!$D$2:$D$169,'Demand Projection'!$B$2:$B$169,Capacity!$A$5,'Demand Projection'!$C$2:$C$169,"&lt;="&amp;F38))/Capacity!$B$5+(SUMIFS($D$2:$D$70,$B$2:$B$70,Capacity!$A$6,$F$2:$F$70,"&lt;="&amp;F38)-SUMIFS('Demand Projection'!$D$2:$D$169,'Demand Projection'!$B$2:$B$169,Capacity!$A$6,'Demand Projection'!$C$2:$C$169,"&lt;="&amp;F38))/Capacity!$B$6+(SUMIFS($D$2:$D$70,$B$2:$B$70,Capacity!$A$7,$F$2:$F$70,"&lt;="&amp;F38)-SUMIFS('Demand Projection'!$D$2:$D$169,'Demand Projection'!$B$2:$B$169,Capacity!$A$7,'Demand Projection'!$C$2:$C$169,"&lt;="&amp;F38))/Capacity!$B$7,2)</f>
        <v>1.23</v>
      </c>
    </row>
    <row r="39" customFormat="false" ht="15" hidden="false" customHeight="false" outlineLevel="0" collapsed="false">
      <c r="A39" s="0" t="n">
        <v>38</v>
      </c>
      <c r="B39" s="0" t="str">
        <f aca="false">INDEX(Helper!$B$2:$B$169,MATCH(A39-5,Helper!$K$2:$K$169,0))</f>
        <v>SKU PROD C</v>
      </c>
      <c r="C39" s="2" t="n">
        <f aca="false">INDEX(Helper!$C$2:$C$169,MATCH(A39-5,Helper!$K$2:$K$169,0))</f>
        <v>46193</v>
      </c>
      <c r="D39" s="0" t="n">
        <f aca="false">INDEX(Helper!$I$2:$I$169,MATCH(A39-5,Helper!$K$2:$K$169,0))</f>
        <v>1227</v>
      </c>
      <c r="E39" s="0" t="s">
        <v>17</v>
      </c>
      <c r="F39" s="2" t="n">
        <f aca="false">C39+3</f>
        <v>46196</v>
      </c>
      <c r="G39" s="3" t="n">
        <f aca="false">ROUND((SUMIFS($D$2:$D$70,$B$2:$B$70,Capacity!$A$3,$F$2:$F$70,"&lt;="&amp;F39)-SUMIFS('Demand Projection'!$D$2:$D$169,'Demand Projection'!$B$2:$B$169,Capacity!$A$3,'Demand Projection'!$C$2:$C$169,"&lt;="&amp;F39))/Capacity!$B$3+(SUMIFS($D$2:$D$70,$B$2:$B$70,Capacity!$A$4,$F$2:$F$70,"&lt;="&amp;F39)-SUMIFS('Demand Projection'!$D$2:$D$169,'Demand Projection'!$B$2:$B$169,Capacity!$A$4,'Demand Projection'!$C$2:$C$169,"&lt;="&amp;F39))/Capacity!$B$4+(SUMIFS($D$2:$D$70,$B$2:$B$70,Capacity!$A$5,$F$2:$F$70,"&lt;="&amp;F39)-SUMIFS('Demand Projection'!$D$2:$D$169,'Demand Projection'!$B$2:$B$169,Capacity!$A$5,'Demand Projection'!$C$2:$C$169,"&lt;="&amp;F39))/Capacity!$B$5+(SUMIFS($D$2:$D$70,$B$2:$B$70,Capacity!$A$6,$F$2:$F$70,"&lt;="&amp;F39)-SUMIFS('Demand Projection'!$D$2:$D$169,'Demand Projection'!$B$2:$B$169,Capacity!$A$6,'Demand Projection'!$C$2:$C$169,"&lt;="&amp;F39))/Capacity!$B$6+(SUMIFS($D$2:$D$70,$B$2:$B$70,Capacity!$A$7,$F$2:$F$70,"&lt;="&amp;F39)-SUMIFS('Demand Projection'!$D$2:$D$169,'Demand Projection'!$B$2:$B$169,Capacity!$A$7,'Demand Projection'!$C$2:$C$169,"&lt;="&amp;F39))/Capacity!$B$7,2)</f>
        <v>1.08</v>
      </c>
    </row>
    <row r="40" customFormat="false" ht="15" hidden="false" customHeight="false" outlineLevel="0" collapsed="false">
      <c r="A40" s="0" t="n">
        <v>39</v>
      </c>
      <c r="B40" s="0" t="str">
        <f aca="false">INDEX(Helper!$B$2:$B$169,MATCH(A40-5,Helper!$K$2:$K$169,0))</f>
        <v>SKU PROD D</v>
      </c>
      <c r="C40" s="2" t="n">
        <f aca="false">INDEX(Helper!$C$2:$C$169,MATCH(A40-5,Helper!$K$2:$K$169,0))</f>
        <v>46201</v>
      </c>
      <c r="D40" s="0" t="n">
        <f aca="false">INDEX(Helper!$I$2:$I$169,MATCH(A40-5,Helper!$K$2:$K$169,0))</f>
        <v>4492</v>
      </c>
      <c r="E40" s="0" t="s">
        <v>17</v>
      </c>
      <c r="F40" s="2" t="n">
        <f aca="false">C40+3</f>
        <v>46204</v>
      </c>
      <c r="G40" s="3" t="n">
        <f aca="false">ROUND((SUMIFS($D$2:$D$70,$B$2:$B$70,Capacity!$A$3,$F$2:$F$70,"&lt;="&amp;F40)-SUMIFS('Demand Projection'!$D$2:$D$169,'Demand Projection'!$B$2:$B$169,Capacity!$A$3,'Demand Projection'!$C$2:$C$169,"&lt;="&amp;F40))/Capacity!$B$3+(SUMIFS($D$2:$D$70,$B$2:$B$70,Capacity!$A$4,$F$2:$F$70,"&lt;="&amp;F40)-SUMIFS('Demand Projection'!$D$2:$D$169,'Demand Projection'!$B$2:$B$169,Capacity!$A$4,'Demand Projection'!$C$2:$C$169,"&lt;="&amp;F40))/Capacity!$B$4+(SUMIFS($D$2:$D$70,$B$2:$B$70,Capacity!$A$5,$F$2:$F$70,"&lt;="&amp;F40)-SUMIFS('Demand Projection'!$D$2:$D$169,'Demand Projection'!$B$2:$B$169,Capacity!$A$5,'Demand Projection'!$C$2:$C$169,"&lt;="&amp;F40))/Capacity!$B$5+(SUMIFS($D$2:$D$70,$B$2:$B$70,Capacity!$A$6,$F$2:$F$70,"&lt;="&amp;F40)-SUMIFS('Demand Projection'!$D$2:$D$169,'Demand Projection'!$B$2:$B$169,Capacity!$A$6,'Demand Projection'!$C$2:$C$169,"&lt;="&amp;F40))/Capacity!$B$6+(SUMIFS($D$2:$D$70,$B$2:$B$70,Capacity!$A$7,$F$2:$F$70,"&lt;="&amp;F40)-SUMIFS('Demand Projection'!$D$2:$D$169,'Demand Projection'!$B$2:$B$169,Capacity!$A$7,'Demand Projection'!$C$2:$C$169,"&lt;="&amp;F40))/Capacity!$B$7,2)</f>
        <v>1.17</v>
      </c>
    </row>
    <row r="41" customFormat="false" ht="15" hidden="false" customHeight="false" outlineLevel="0" collapsed="false">
      <c r="A41" s="0" t="n">
        <v>40</v>
      </c>
      <c r="B41" s="0" t="str">
        <f aca="false">INDEX(Helper!$B$2:$B$169,MATCH(A41-5,Helper!$K$2:$K$169,0))</f>
        <v>SKU PROD E</v>
      </c>
      <c r="C41" s="2" t="n">
        <f aca="false">INDEX(Helper!$C$2:$C$169,MATCH(A41-5,Helper!$K$2:$K$169,0))</f>
        <v>46201</v>
      </c>
      <c r="D41" s="0" t="n">
        <f aca="false">INDEX(Helper!$I$2:$I$169,MATCH(A41-5,Helper!$K$2:$K$169,0))</f>
        <v>2452</v>
      </c>
      <c r="E41" s="0" t="s">
        <v>17</v>
      </c>
      <c r="F41" s="2" t="n">
        <f aca="false">C41+3</f>
        <v>46204</v>
      </c>
      <c r="G41" s="3" t="n">
        <f aca="false">ROUND((SUMIFS($D$2:$D$70,$B$2:$B$70,Capacity!$A$3,$F$2:$F$70,"&lt;="&amp;F41)-SUMIFS('Demand Projection'!$D$2:$D$169,'Demand Projection'!$B$2:$B$169,Capacity!$A$3,'Demand Projection'!$C$2:$C$169,"&lt;="&amp;F41))/Capacity!$B$3+(SUMIFS($D$2:$D$70,$B$2:$B$70,Capacity!$A$4,$F$2:$F$70,"&lt;="&amp;F41)-SUMIFS('Demand Projection'!$D$2:$D$169,'Demand Projection'!$B$2:$B$169,Capacity!$A$4,'Demand Projection'!$C$2:$C$169,"&lt;="&amp;F41))/Capacity!$B$4+(SUMIFS($D$2:$D$70,$B$2:$B$70,Capacity!$A$5,$F$2:$F$70,"&lt;="&amp;F41)-SUMIFS('Demand Projection'!$D$2:$D$169,'Demand Projection'!$B$2:$B$169,Capacity!$A$5,'Demand Projection'!$C$2:$C$169,"&lt;="&amp;F41))/Capacity!$B$5+(SUMIFS($D$2:$D$70,$B$2:$B$70,Capacity!$A$6,$F$2:$F$70,"&lt;="&amp;F41)-SUMIFS('Demand Projection'!$D$2:$D$169,'Demand Projection'!$B$2:$B$169,Capacity!$A$6,'Demand Projection'!$C$2:$C$169,"&lt;="&amp;F41))/Capacity!$B$6+(SUMIFS($D$2:$D$70,$B$2:$B$70,Capacity!$A$7,$F$2:$F$70,"&lt;="&amp;F41)-SUMIFS('Demand Projection'!$D$2:$D$169,'Demand Projection'!$B$2:$B$169,Capacity!$A$7,'Demand Projection'!$C$2:$C$169,"&lt;="&amp;F41))/Capacity!$B$7,2)</f>
        <v>1.17</v>
      </c>
    </row>
    <row r="42" customFormat="false" ht="15" hidden="false" customHeight="false" outlineLevel="0" collapsed="false">
      <c r="A42" s="0" t="n">
        <v>41</v>
      </c>
      <c r="B42" s="0" t="str">
        <f aca="false">INDEX(Helper!$B$2:$B$169,MATCH(A42-5,Helper!$K$2:$K$169,0))</f>
        <v>SKU PROD B</v>
      </c>
      <c r="C42" s="2" t="n">
        <f aca="false">INDEX(Helper!$C$2:$C$169,MATCH(A42-5,Helper!$K$2:$K$169,0))</f>
        <v>46206</v>
      </c>
      <c r="D42" s="0" t="n">
        <f aca="false">INDEX(Helper!$I$2:$I$169,MATCH(A42-5,Helper!$K$2:$K$169,0))</f>
        <v>7143</v>
      </c>
      <c r="E42" s="0" t="s">
        <v>17</v>
      </c>
      <c r="F42" s="2" t="n">
        <f aca="false">C42+3</f>
        <v>46209</v>
      </c>
      <c r="G42" s="3" t="n">
        <f aca="false">ROUND((SUMIFS($D$2:$D$70,$B$2:$B$70,Capacity!$A$3,$F$2:$F$70,"&lt;="&amp;F42)-SUMIFS('Demand Projection'!$D$2:$D$169,'Demand Projection'!$B$2:$B$169,Capacity!$A$3,'Demand Projection'!$C$2:$C$169,"&lt;="&amp;F42))/Capacity!$B$3+(SUMIFS($D$2:$D$70,$B$2:$B$70,Capacity!$A$4,$F$2:$F$70,"&lt;="&amp;F42)-SUMIFS('Demand Projection'!$D$2:$D$169,'Demand Projection'!$B$2:$B$169,Capacity!$A$4,'Demand Projection'!$C$2:$C$169,"&lt;="&amp;F42))/Capacity!$B$4+(SUMIFS($D$2:$D$70,$B$2:$B$70,Capacity!$A$5,$F$2:$F$70,"&lt;="&amp;F42)-SUMIFS('Demand Projection'!$D$2:$D$169,'Demand Projection'!$B$2:$B$169,Capacity!$A$5,'Demand Projection'!$C$2:$C$169,"&lt;="&amp;F42))/Capacity!$B$5+(SUMIFS($D$2:$D$70,$B$2:$B$70,Capacity!$A$6,$F$2:$F$70,"&lt;="&amp;F42)-SUMIFS('Demand Projection'!$D$2:$D$169,'Demand Projection'!$B$2:$B$169,Capacity!$A$6,'Demand Projection'!$C$2:$C$169,"&lt;="&amp;F42))/Capacity!$B$6+(SUMIFS($D$2:$D$70,$B$2:$B$70,Capacity!$A$7,$F$2:$F$70,"&lt;="&amp;F42)-SUMIFS('Demand Projection'!$D$2:$D$169,'Demand Projection'!$B$2:$B$169,Capacity!$A$7,'Demand Projection'!$C$2:$C$169,"&lt;="&amp;F42))/Capacity!$B$7,2)</f>
        <v>0.89</v>
      </c>
    </row>
    <row r="43" customFormat="false" ht="15" hidden="false" customHeight="false" outlineLevel="0" collapsed="false">
      <c r="A43" s="0" t="n">
        <v>42</v>
      </c>
      <c r="B43" s="0" t="str">
        <f aca="false">INDEX(Helper!$B$2:$B$169,MATCH(A43-5,Helper!$K$2:$K$169,0))</f>
        <v>SKU PROD A</v>
      </c>
      <c r="C43" s="2" t="n">
        <f aca="false">INDEX(Helper!$C$2:$C$169,MATCH(A43-5,Helper!$K$2:$K$169,0))</f>
        <v>46210</v>
      </c>
      <c r="D43" s="0" t="n">
        <f aca="false">INDEX(Helper!$I$2:$I$169,MATCH(A43-5,Helper!$K$2:$K$169,0))</f>
        <v>2578</v>
      </c>
      <c r="E43" s="0" t="s">
        <v>17</v>
      </c>
      <c r="F43" s="2" t="n">
        <f aca="false">C43+3</f>
        <v>46213</v>
      </c>
      <c r="G43" s="3" t="n">
        <f aca="false">ROUND((SUMIFS($D$2:$D$70,$B$2:$B$70,Capacity!$A$3,$F$2:$F$70,"&lt;="&amp;F43)-SUMIFS('Demand Projection'!$D$2:$D$169,'Demand Projection'!$B$2:$B$169,Capacity!$A$3,'Demand Projection'!$C$2:$C$169,"&lt;="&amp;F43))/Capacity!$B$3+(SUMIFS($D$2:$D$70,$B$2:$B$70,Capacity!$A$4,$F$2:$F$70,"&lt;="&amp;F43)-SUMIFS('Demand Projection'!$D$2:$D$169,'Demand Projection'!$B$2:$B$169,Capacity!$A$4,'Demand Projection'!$C$2:$C$169,"&lt;="&amp;F43))/Capacity!$B$4+(SUMIFS($D$2:$D$70,$B$2:$B$70,Capacity!$A$5,$F$2:$F$70,"&lt;="&amp;F43)-SUMIFS('Demand Projection'!$D$2:$D$169,'Demand Projection'!$B$2:$B$169,Capacity!$A$5,'Demand Projection'!$C$2:$C$169,"&lt;="&amp;F43))/Capacity!$B$5+(SUMIFS($D$2:$D$70,$B$2:$B$70,Capacity!$A$6,$F$2:$F$70,"&lt;="&amp;F43)-SUMIFS('Demand Projection'!$D$2:$D$169,'Demand Projection'!$B$2:$B$169,Capacity!$A$6,'Demand Projection'!$C$2:$C$169,"&lt;="&amp;F43))/Capacity!$B$6+(SUMIFS($D$2:$D$70,$B$2:$B$70,Capacity!$A$7,$F$2:$F$70,"&lt;="&amp;F43)-SUMIFS('Demand Projection'!$D$2:$D$169,'Demand Projection'!$B$2:$B$169,Capacity!$A$7,'Demand Projection'!$C$2:$C$169,"&lt;="&amp;F43))/Capacity!$B$7,2)</f>
        <v>1.01</v>
      </c>
    </row>
    <row r="44" customFormat="false" ht="15" hidden="false" customHeight="false" outlineLevel="0" collapsed="false">
      <c r="A44" s="0" t="n">
        <v>43</v>
      </c>
      <c r="B44" s="0" t="str">
        <f aca="false">INDEX(Helper!$B$2:$B$169,MATCH(A44-5,Helper!$K$2:$K$169,0))</f>
        <v>SKU PROD C</v>
      </c>
      <c r="C44" s="2" t="n">
        <f aca="false">INDEX(Helper!$C$2:$C$169,MATCH(A44-5,Helper!$K$2:$K$169,0))</f>
        <v>46212</v>
      </c>
      <c r="D44" s="0" t="n">
        <f aca="false">INDEX(Helper!$I$2:$I$169,MATCH(A44-5,Helper!$K$2:$K$169,0))</f>
        <v>1537</v>
      </c>
      <c r="E44" s="0" t="s">
        <v>17</v>
      </c>
      <c r="F44" s="2" t="n">
        <f aca="false">C44+3</f>
        <v>46215</v>
      </c>
      <c r="G44" s="3" t="n">
        <f aca="false">ROUND((SUMIFS($D$2:$D$70,$B$2:$B$70,Capacity!$A$3,$F$2:$F$70,"&lt;="&amp;F44)-SUMIFS('Demand Projection'!$D$2:$D$169,'Demand Projection'!$B$2:$B$169,Capacity!$A$3,'Demand Projection'!$C$2:$C$169,"&lt;="&amp;F44))/Capacity!$B$3+(SUMIFS($D$2:$D$70,$B$2:$B$70,Capacity!$A$4,$F$2:$F$70,"&lt;="&amp;F44)-SUMIFS('Demand Projection'!$D$2:$D$169,'Demand Projection'!$B$2:$B$169,Capacity!$A$4,'Demand Projection'!$C$2:$C$169,"&lt;="&amp;F44))/Capacity!$B$4+(SUMIFS($D$2:$D$70,$B$2:$B$70,Capacity!$A$5,$F$2:$F$70,"&lt;="&amp;F44)-SUMIFS('Demand Projection'!$D$2:$D$169,'Demand Projection'!$B$2:$B$169,Capacity!$A$5,'Demand Projection'!$C$2:$C$169,"&lt;="&amp;F44))/Capacity!$B$5+(SUMIFS($D$2:$D$70,$B$2:$B$70,Capacity!$A$6,$F$2:$F$70,"&lt;="&amp;F44)-SUMIFS('Demand Projection'!$D$2:$D$169,'Demand Projection'!$B$2:$B$169,Capacity!$A$6,'Demand Projection'!$C$2:$C$169,"&lt;="&amp;F44))/Capacity!$B$6+(SUMIFS($D$2:$D$70,$B$2:$B$70,Capacity!$A$7,$F$2:$F$70,"&lt;="&amp;F44)-SUMIFS('Demand Projection'!$D$2:$D$169,'Demand Projection'!$B$2:$B$169,Capacity!$A$7,'Demand Projection'!$C$2:$C$169,"&lt;="&amp;F44))/Capacity!$B$7,2)</f>
        <v>1.09</v>
      </c>
    </row>
    <row r="45" customFormat="false" ht="15" hidden="false" customHeight="false" outlineLevel="0" collapsed="false">
      <c r="A45" s="0" t="n">
        <v>44</v>
      </c>
      <c r="B45" s="0" t="str">
        <f aca="false">INDEX(Helper!$B$2:$B$169,MATCH(A45-5,Helper!$K$2:$K$169,0))</f>
        <v>SKU PROD D</v>
      </c>
      <c r="C45" s="2" t="n">
        <f aca="false">INDEX(Helper!$C$2:$C$169,MATCH(A45-5,Helper!$K$2:$K$169,0))</f>
        <v>46231</v>
      </c>
      <c r="D45" s="0" t="n">
        <f aca="false">INDEX(Helper!$I$2:$I$169,MATCH(A45-5,Helper!$K$2:$K$169,0))</f>
        <v>4383</v>
      </c>
      <c r="E45" s="0" t="s">
        <v>17</v>
      </c>
      <c r="F45" s="2" t="n">
        <f aca="false">C45+3</f>
        <v>46234</v>
      </c>
      <c r="G45" s="3" t="n">
        <f aca="false">ROUND((SUMIFS($D$2:$D$70,$B$2:$B$70,Capacity!$A$3,$F$2:$F$70,"&lt;="&amp;F45)-SUMIFS('Demand Projection'!$D$2:$D$169,'Demand Projection'!$B$2:$B$169,Capacity!$A$3,'Demand Projection'!$C$2:$C$169,"&lt;="&amp;F45))/Capacity!$B$3+(SUMIFS($D$2:$D$70,$B$2:$B$70,Capacity!$A$4,$F$2:$F$70,"&lt;="&amp;F45)-SUMIFS('Demand Projection'!$D$2:$D$169,'Demand Projection'!$B$2:$B$169,Capacity!$A$4,'Demand Projection'!$C$2:$C$169,"&lt;="&amp;F45))/Capacity!$B$4+(SUMIFS($D$2:$D$70,$B$2:$B$70,Capacity!$A$5,$F$2:$F$70,"&lt;="&amp;F45)-SUMIFS('Demand Projection'!$D$2:$D$169,'Demand Projection'!$B$2:$B$169,Capacity!$A$5,'Demand Projection'!$C$2:$C$169,"&lt;="&amp;F45))/Capacity!$B$5+(SUMIFS($D$2:$D$70,$B$2:$B$70,Capacity!$A$6,$F$2:$F$70,"&lt;="&amp;F45)-SUMIFS('Demand Projection'!$D$2:$D$169,'Demand Projection'!$B$2:$B$169,Capacity!$A$6,'Demand Projection'!$C$2:$C$169,"&lt;="&amp;F45))/Capacity!$B$6+(SUMIFS($D$2:$D$70,$B$2:$B$70,Capacity!$A$7,$F$2:$F$70,"&lt;="&amp;F45)-SUMIFS('Demand Projection'!$D$2:$D$169,'Demand Projection'!$B$2:$B$169,Capacity!$A$7,'Demand Projection'!$C$2:$C$169,"&lt;="&amp;F45))/Capacity!$B$7,2)</f>
        <v>1.02</v>
      </c>
    </row>
    <row r="46" customFormat="false" ht="15" hidden="false" customHeight="false" outlineLevel="0" collapsed="false">
      <c r="A46" s="0" t="n">
        <v>45</v>
      </c>
      <c r="B46" s="0" t="str">
        <f aca="false">INDEX(Helper!$B$2:$B$169,MATCH(A46-5,Helper!$K$2:$K$169,0))</f>
        <v>SKU PROD E</v>
      </c>
      <c r="C46" s="2" t="n">
        <f aca="false">INDEX(Helper!$C$2:$C$169,MATCH(A46-5,Helper!$K$2:$K$169,0))</f>
        <v>46231</v>
      </c>
      <c r="D46" s="0" t="n">
        <f aca="false">INDEX(Helper!$I$2:$I$169,MATCH(A46-5,Helper!$K$2:$K$169,0))</f>
        <v>2330</v>
      </c>
      <c r="E46" s="0" t="s">
        <v>17</v>
      </c>
      <c r="F46" s="2" t="n">
        <f aca="false">C46+3</f>
        <v>46234</v>
      </c>
      <c r="G46" s="3" t="n">
        <f aca="false">ROUND((SUMIFS($D$2:$D$70,$B$2:$B$70,Capacity!$A$3,$F$2:$F$70,"&lt;="&amp;F46)-SUMIFS('Demand Projection'!$D$2:$D$169,'Demand Projection'!$B$2:$B$169,Capacity!$A$3,'Demand Projection'!$C$2:$C$169,"&lt;="&amp;F46))/Capacity!$B$3+(SUMIFS($D$2:$D$70,$B$2:$B$70,Capacity!$A$4,$F$2:$F$70,"&lt;="&amp;F46)-SUMIFS('Demand Projection'!$D$2:$D$169,'Demand Projection'!$B$2:$B$169,Capacity!$A$4,'Demand Projection'!$C$2:$C$169,"&lt;="&amp;F46))/Capacity!$B$4+(SUMIFS($D$2:$D$70,$B$2:$B$70,Capacity!$A$5,$F$2:$F$70,"&lt;="&amp;F46)-SUMIFS('Demand Projection'!$D$2:$D$169,'Demand Projection'!$B$2:$B$169,Capacity!$A$5,'Demand Projection'!$C$2:$C$169,"&lt;="&amp;F46))/Capacity!$B$5+(SUMIFS($D$2:$D$70,$B$2:$B$70,Capacity!$A$6,$F$2:$F$70,"&lt;="&amp;F46)-SUMIFS('Demand Projection'!$D$2:$D$169,'Demand Projection'!$B$2:$B$169,Capacity!$A$6,'Demand Projection'!$C$2:$C$169,"&lt;="&amp;F46))/Capacity!$B$6+(SUMIFS($D$2:$D$70,$B$2:$B$70,Capacity!$A$7,$F$2:$F$70,"&lt;="&amp;F46)-SUMIFS('Demand Projection'!$D$2:$D$169,'Demand Projection'!$B$2:$B$169,Capacity!$A$7,'Demand Projection'!$C$2:$C$169,"&lt;="&amp;F46))/Capacity!$B$7,2)</f>
        <v>1.02</v>
      </c>
    </row>
    <row r="47" customFormat="false" ht="15" hidden="false" customHeight="false" outlineLevel="0" collapsed="false">
      <c r="A47" s="0" t="n">
        <v>46</v>
      </c>
      <c r="B47" s="0" t="str">
        <f aca="false">INDEX(Helper!$B$2:$B$169,MATCH(A47-5,Helper!$K$2:$K$169,0))</f>
        <v>SKU PROD A</v>
      </c>
      <c r="C47" s="2" t="n">
        <f aca="false">INDEX(Helper!$C$2:$C$169,MATCH(A47-5,Helper!$K$2:$K$169,0))</f>
        <v>46238</v>
      </c>
      <c r="D47" s="0" t="n">
        <f aca="false">INDEX(Helper!$I$2:$I$169,MATCH(A47-5,Helper!$K$2:$K$169,0))</f>
        <v>2291</v>
      </c>
      <c r="E47" s="0" t="s">
        <v>17</v>
      </c>
      <c r="F47" s="2" t="n">
        <f aca="false">C47+3</f>
        <v>46241</v>
      </c>
      <c r="G47" s="3" t="n">
        <f aca="false">ROUND((SUMIFS($D$2:$D$70,$B$2:$B$70,Capacity!$A$3,$F$2:$F$70,"&lt;="&amp;F47)-SUMIFS('Demand Projection'!$D$2:$D$169,'Demand Projection'!$B$2:$B$169,Capacity!$A$3,'Demand Projection'!$C$2:$C$169,"&lt;="&amp;F47))/Capacity!$B$3+(SUMIFS($D$2:$D$70,$B$2:$B$70,Capacity!$A$4,$F$2:$F$70,"&lt;="&amp;F47)-SUMIFS('Demand Projection'!$D$2:$D$169,'Demand Projection'!$B$2:$B$169,Capacity!$A$4,'Demand Projection'!$C$2:$C$169,"&lt;="&amp;F47))/Capacity!$B$4+(SUMIFS($D$2:$D$70,$B$2:$B$70,Capacity!$A$5,$F$2:$F$70,"&lt;="&amp;F47)-SUMIFS('Demand Projection'!$D$2:$D$169,'Demand Projection'!$B$2:$B$169,Capacity!$A$5,'Demand Projection'!$C$2:$C$169,"&lt;="&amp;F47))/Capacity!$B$5+(SUMIFS($D$2:$D$70,$B$2:$B$70,Capacity!$A$6,$F$2:$F$70,"&lt;="&amp;F47)-SUMIFS('Demand Projection'!$D$2:$D$169,'Demand Projection'!$B$2:$B$169,Capacity!$A$6,'Demand Projection'!$C$2:$C$169,"&lt;="&amp;F47))/Capacity!$B$6+(SUMIFS($D$2:$D$70,$B$2:$B$70,Capacity!$A$7,$F$2:$F$70,"&lt;="&amp;F47)-SUMIFS('Demand Projection'!$D$2:$D$169,'Demand Projection'!$B$2:$B$169,Capacity!$A$7,'Demand Projection'!$C$2:$C$169,"&lt;="&amp;F47))/Capacity!$B$7,2)</f>
        <v>0.68</v>
      </c>
    </row>
    <row r="48" customFormat="false" ht="15" hidden="false" customHeight="false" outlineLevel="0" collapsed="false">
      <c r="A48" s="0" t="n">
        <v>47</v>
      </c>
      <c r="B48" s="0" t="str">
        <f aca="false">INDEX(Helper!$B$2:$B$169,MATCH(A48-5,Helper!$K$2:$K$169,0))</f>
        <v>SKU PROD C</v>
      </c>
      <c r="C48" s="2" t="n">
        <f aca="false">INDEX(Helper!$C$2:$C$169,MATCH(A48-5,Helper!$K$2:$K$169,0))</f>
        <v>46239</v>
      </c>
      <c r="D48" s="0" t="n">
        <f aca="false">INDEX(Helper!$I$2:$I$169,MATCH(A48-5,Helper!$K$2:$K$169,0))</f>
        <v>1553</v>
      </c>
      <c r="E48" s="0" t="s">
        <v>17</v>
      </c>
      <c r="F48" s="2" t="n">
        <f aca="false">C48+3</f>
        <v>46242</v>
      </c>
      <c r="G48" s="3" t="n">
        <f aca="false">ROUND((SUMIFS($D$2:$D$70,$B$2:$B$70,Capacity!$A$3,$F$2:$F$70,"&lt;="&amp;F48)-SUMIFS('Demand Projection'!$D$2:$D$169,'Demand Projection'!$B$2:$B$169,Capacity!$A$3,'Demand Projection'!$C$2:$C$169,"&lt;="&amp;F48))/Capacity!$B$3+(SUMIFS($D$2:$D$70,$B$2:$B$70,Capacity!$A$4,$F$2:$F$70,"&lt;="&amp;F48)-SUMIFS('Demand Projection'!$D$2:$D$169,'Demand Projection'!$B$2:$B$169,Capacity!$A$4,'Demand Projection'!$C$2:$C$169,"&lt;="&amp;F48))/Capacity!$B$4+(SUMIFS($D$2:$D$70,$B$2:$B$70,Capacity!$A$5,$F$2:$F$70,"&lt;="&amp;F48)-SUMIFS('Demand Projection'!$D$2:$D$169,'Demand Projection'!$B$2:$B$169,Capacity!$A$5,'Demand Projection'!$C$2:$C$169,"&lt;="&amp;F48))/Capacity!$B$5+(SUMIFS($D$2:$D$70,$B$2:$B$70,Capacity!$A$6,$F$2:$F$70,"&lt;="&amp;F48)-SUMIFS('Demand Projection'!$D$2:$D$169,'Demand Projection'!$B$2:$B$169,Capacity!$A$6,'Demand Projection'!$C$2:$C$169,"&lt;="&amp;F48))/Capacity!$B$6+(SUMIFS($D$2:$D$70,$B$2:$B$70,Capacity!$A$7,$F$2:$F$70,"&lt;="&amp;F48)-SUMIFS('Demand Projection'!$D$2:$D$169,'Demand Projection'!$B$2:$B$169,Capacity!$A$7,'Demand Projection'!$C$2:$C$169,"&lt;="&amp;F48))/Capacity!$B$7,2)</f>
        <v>0.78</v>
      </c>
    </row>
    <row r="49" customFormat="false" ht="15" hidden="false" customHeight="false" outlineLevel="0" collapsed="false">
      <c r="A49" s="0" t="n">
        <v>48</v>
      </c>
      <c r="B49" s="0" t="str">
        <f aca="false">INDEX(Helper!$B$2:$B$169,MATCH(A49-5,Helper!$K$2:$K$169,0))</f>
        <v>SKU PROD B</v>
      </c>
      <c r="C49" s="2" t="n">
        <f aca="false">INDEX(Helper!$C$2:$C$169,MATCH(A49-5,Helper!$K$2:$K$169,0))</f>
        <v>46247</v>
      </c>
      <c r="D49" s="0" t="n">
        <f aca="false">INDEX(Helper!$I$2:$I$169,MATCH(A49-5,Helper!$K$2:$K$169,0))</f>
        <v>6594</v>
      </c>
      <c r="E49" s="0" t="s">
        <v>17</v>
      </c>
      <c r="F49" s="2" t="n">
        <f aca="false">C49+3</f>
        <v>46250</v>
      </c>
      <c r="G49" s="3" t="n">
        <f aca="false">ROUND((SUMIFS($D$2:$D$70,$B$2:$B$70,Capacity!$A$3,$F$2:$F$70,"&lt;="&amp;F49)-SUMIFS('Demand Projection'!$D$2:$D$169,'Demand Projection'!$B$2:$B$169,Capacity!$A$3,'Demand Projection'!$C$2:$C$169,"&lt;="&amp;F49))/Capacity!$B$3+(SUMIFS($D$2:$D$70,$B$2:$B$70,Capacity!$A$4,$F$2:$F$70,"&lt;="&amp;F49)-SUMIFS('Demand Projection'!$D$2:$D$169,'Demand Projection'!$B$2:$B$169,Capacity!$A$4,'Demand Projection'!$C$2:$C$169,"&lt;="&amp;F49))/Capacity!$B$4+(SUMIFS($D$2:$D$70,$B$2:$B$70,Capacity!$A$5,$F$2:$F$70,"&lt;="&amp;F49)-SUMIFS('Demand Projection'!$D$2:$D$169,'Demand Projection'!$B$2:$B$169,Capacity!$A$5,'Demand Projection'!$C$2:$C$169,"&lt;="&amp;F49))/Capacity!$B$5+(SUMIFS($D$2:$D$70,$B$2:$B$70,Capacity!$A$6,$F$2:$F$70,"&lt;="&amp;F49)-SUMIFS('Demand Projection'!$D$2:$D$169,'Demand Projection'!$B$2:$B$169,Capacity!$A$6,'Demand Projection'!$C$2:$C$169,"&lt;="&amp;F49))/Capacity!$B$6+(SUMIFS($D$2:$D$70,$B$2:$B$70,Capacity!$A$7,$F$2:$F$70,"&lt;="&amp;F49)-SUMIFS('Demand Projection'!$D$2:$D$169,'Demand Projection'!$B$2:$B$169,Capacity!$A$7,'Demand Projection'!$C$2:$C$169,"&lt;="&amp;F49))/Capacity!$B$7,2)</f>
        <v>0.98</v>
      </c>
    </row>
    <row r="50" customFormat="false" ht="15" hidden="false" customHeight="false" outlineLevel="0" collapsed="false">
      <c r="A50" s="0" t="n">
        <v>49</v>
      </c>
      <c r="B50" s="0" t="str">
        <f aca="false">INDEX(Helper!$B$2:$B$169,MATCH(A50-5,Helper!$K$2:$K$169,0))</f>
        <v>SKU PROD D</v>
      </c>
      <c r="C50" s="2" t="n">
        <f aca="false">INDEX(Helper!$C$2:$C$169,MATCH(A50-5,Helper!$K$2:$K$169,0))</f>
        <v>46262</v>
      </c>
      <c r="D50" s="0" t="n">
        <f aca="false">INDEX(Helper!$I$2:$I$169,MATCH(A50-5,Helper!$K$2:$K$169,0))</f>
        <v>4258</v>
      </c>
      <c r="E50" s="0" t="s">
        <v>17</v>
      </c>
      <c r="F50" s="2" t="n">
        <f aca="false">C50+3</f>
        <v>46265</v>
      </c>
      <c r="G50" s="3" t="n">
        <f aca="false">ROUND((SUMIFS($D$2:$D$70,$B$2:$B$70,Capacity!$A$3,$F$2:$F$70,"&lt;="&amp;F50)-SUMIFS('Demand Projection'!$D$2:$D$169,'Demand Projection'!$B$2:$B$169,Capacity!$A$3,'Demand Projection'!$C$2:$C$169,"&lt;="&amp;F50))/Capacity!$B$3+(SUMIFS($D$2:$D$70,$B$2:$B$70,Capacity!$A$4,$F$2:$F$70,"&lt;="&amp;F50)-SUMIFS('Demand Projection'!$D$2:$D$169,'Demand Projection'!$B$2:$B$169,Capacity!$A$4,'Demand Projection'!$C$2:$C$169,"&lt;="&amp;F50))/Capacity!$B$4+(SUMIFS($D$2:$D$70,$B$2:$B$70,Capacity!$A$5,$F$2:$F$70,"&lt;="&amp;F50)-SUMIFS('Demand Projection'!$D$2:$D$169,'Demand Projection'!$B$2:$B$169,Capacity!$A$5,'Demand Projection'!$C$2:$C$169,"&lt;="&amp;F50))/Capacity!$B$5+(SUMIFS($D$2:$D$70,$B$2:$B$70,Capacity!$A$6,$F$2:$F$70,"&lt;="&amp;F50)-SUMIFS('Demand Projection'!$D$2:$D$169,'Demand Projection'!$B$2:$B$169,Capacity!$A$6,'Demand Projection'!$C$2:$C$169,"&lt;="&amp;F50))/Capacity!$B$6+(SUMIFS($D$2:$D$70,$B$2:$B$70,Capacity!$A$7,$F$2:$F$70,"&lt;="&amp;F50)-SUMIFS('Demand Projection'!$D$2:$D$169,'Demand Projection'!$B$2:$B$169,Capacity!$A$7,'Demand Projection'!$C$2:$C$169,"&lt;="&amp;F50))/Capacity!$B$7,2)</f>
        <v>0.94</v>
      </c>
    </row>
    <row r="51" customFormat="false" ht="15" hidden="false" customHeight="false" outlineLevel="0" collapsed="false">
      <c r="A51" s="0" t="n">
        <v>50</v>
      </c>
      <c r="B51" s="0" t="str">
        <f aca="false">INDEX(Helper!$B$2:$B$169,MATCH(A51-5,Helper!$K$2:$K$169,0))</f>
        <v>SKU PROD E</v>
      </c>
      <c r="C51" s="2" t="n">
        <f aca="false">INDEX(Helper!$C$2:$C$169,MATCH(A51-5,Helper!$K$2:$K$169,0))</f>
        <v>46262</v>
      </c>
      <c r="D51" s="0" t="n">
        <f aca="false">INDEX(Helper!$I$2:$I$169,MATCH(A51-5,Helper!$K$2:$K$169,0))</f>
        <v>2336</v>
      </c>
      <c r="E51" s="0" t="s">
        <v>17</v>
      </c>
      <c r="F51" s="2" t="n">
        <f aca="false">C51+3</f>
        <v>46265</v>
      </c>
      <c r="G51" s="3" t="n">
        <f aca="false">ROUND((SUMIFS($D$2:$D$70,$B$2:$B$70,Capacity!$A$3,$F$2:$F$70,"&lt;="&amp;F51)-SUMIFS('Demand Projection'!$D$2:$D$169,'Demand Projection'!$B$2:$B$169,Capacity!$A$3,'Demand Projection'!$C$2:$C$169,"&lt;="&amp;F51))/Capacity!$B$3+(SUMIFS($D$2:$D$70,$B$2:$B$70,Capacity!$A$4,$F$2:$F$70,"&lt;="&amp;F51)-SUMIFS('Demand Projection'!$D$2:$D$169,'Demand Projection'!$B$2:$B$169,Capacity!$A$4,'Demand Projection'!$C$2:$C$169,"&lt;="&amp;F51))/Capacity!$B$4+(SUMIFS($D$2:$D$70,$B$2:$B$70,Capacity!$A$5,$F$2:$F$70,"&lt;="&amp;F51)-SUMIFS('Demand Projection'!$D$2:$D$169,'Demand Projection'!$B$2:$B$169,Capacity!$A$5,'Demand Projection'!$C$2:$C$169,"&lt;="&amp;F51))/Capacity!$B$5+(SUMIFS($D$2:$D$70,$B$2:$B$70,Capacity!$A$6,$F$2:$F$70,"&lt;="&amp;F51)-SUMIFS('Demand Projection'!$D$2:$D$169,'Demand Projection'!$B$2:$B$169,Capacity!$A$6,'Demand Projection'!$C$2:$C$169,"&lt;="&amp;F51))/Capacity!$B$6+(SUMIFS($D$2:$D$70,$B$2:$B$70,Capacity!$A$7,$F$2:$F$70,"&lt;="&amp;F51)-SUMIFS('Demand Projection'!$D$2:$D$169,'Demand Projection'!$B$2:$B$169,Capacity!$A$7,'Demand Projection'!$C$2:$C$169,"&lt;="&amp;F51))/Capacity!$B$7,2)</f>
        <v>0.94</v>
      </c>
    </row>
    <row r="52" customFormat="false" ht="15" hidden="false" customHeight="false" outlineLevel="0" collapsed="false">
      <c r="A52" s="0" t="n">
        <v>51</v>
      </c>
      <c r="B52" s="0" t="str">
        <f aca="false">INDEX(Helper!$B$2:$B$169,MATCH(A52-5,Helper!$K$2:$K$169,0))</f>
        <v>SKU PROD A</v>
      </c>
      <c r="C52" s="2" t="n">
        <f aca="false">INDEX(Helper!$C$2:$C$169,MATCH(A52-5,Helper!$K$2:$K$169,0))</f>
        <v>46268</v>
      </c>
      <c r="D52" s="0" t="n">
        <f aca="false">INDEX(Helper!$I$2:$I$169,MATCH(A52-5,Helper!$K$2:$K$169,0))</f>
        <v>2563</v>
      </c>
      <c r="E52" s="0" t="s">
        <v>17</v>
      </c>
      <c r="F52" s="2" t="n">
        <f aca="false">C52+3</f>
        <v>46271</v>
      </c>
      <c r="G52" s="3" t="n">
        <f aca="false">ROUND((SUMIFS($D$2:$D$70,$B$2:$B$70,Capacity!$A$3,$F$2:$F$70,"&lt;="&amp;F52)-SUMIFS('Demand Projection'!$D$2:$D$169,'Demand Projection'!$B$2:$B$169,Capacity!$A$3,'Demand Projection'!$C$2:$C$169,"&lt;="&amp;F52))/Capacity!$B$3+(SUMIFS($D$2:$D$70,$B$2:$B$70,Capacity!$A$4,$F$2:$F$70,"&lt;="&amp;F52)-SUMIFS('Demand Projection'!$D$2:$D$169,'Demand Projection'!$B$2:$B$169,Capacity!$A$4,'Demand Projection'!$C$2:$C$169,"&lt;="&amp;F52))/Capacity!$B$4+(SUMIFS($D$2:$D$70,$B$2:$B$70,Capacity!$A$5,$F$2:$F$70,"&lt;="&amp;F52)-SUMIFS('Demand Projection'!$D$2:$D$169,'Demand Projection'!$B$2:$B$169,Capacity!$A$5,'Demand Projection'!$C$2:$C$169,"&lt;="&amp;F52))/Capacity!$B$5+(SUMIFS($D$2:$D$70,$B$2:$B$70,Capacity!$A$6,$F$2:$F$70,"&lt;="&amp;F52)-SUMIFS('Demand Projection'!$D$2:$D$169,'Demand Projection'!$B$2:$B$169,Capacity!$A$6,'Demand Projection'!$C$2:$C$169,"&lt;="&amp;F52))/Capacity!$B$6+(SUMIFS($D$2:$D$70,$B$2:$B$70,Capacity!$A$7,$F$2:$F$70,"&lt;="&amp;F52)-SUMIFS('Demand Projection'!$D$2:$D$169,'Demand Projection'!$B$2:$B$169,Capacity!$A$7,'Demand Projection'!$C$2:$C$169,"&lt;="&amp;F52))/Capacity!$B$7,2)</f>
        <v>0.79</v>
      </c>
    </row>
    <row r="53" customFormat="false" ht="15" hidden="false" customHeight="false" outlineLevel="0" collapsed="false">
      <c r="A53" s="0" t="n">
        <v>52</v>
      </c>
      <c r="B53" s="0" t="str">
        <f aca="false">INDEX(Helper!$B$2:$B$169,MATCH(A53-5,Helper!$K$2:$K$169,0))</f>
        <v>SKU PROD A</v>
      </c>
      <c r="C53" s="2" t="n">
        <f aca="false">INDEX(Helper!$C$2:$C$169,MATCH(A53-5,Helper!$K$2:$K$169,0))</f>
        <v>46269</v>
      </c>
      <c r="D53" s="0" t="n">
        <f aca="false">INDEX(Helper!$I$2:$I$169,MATCH(A53-5,Helper!$K$2:$K$169,0))</f>
        <v>2881</v>
      </c>
      <c r="E53" s="0" t="s">
        <v>17</v>
      </c>
      <c r="F53" s="2" t="n">
        <f aca="false">C53+3</f>
        <v>46272</v>
      </c>
      <c r="G53" s="3" t="n">
        <f aca="false">ROUND((SUMIFS($D$2:$D$70,$B$2:$B$70,Capacity!$A$3,$F$2:$F$70,"&lt;="&amp;F53)-SUMIFS('Demand Projection'!$D$2:$D$169,'Demand Projection'!$B$2:$B$169,Capacity!$A$3,'Demand Projection'!$C$2:$C$169,"&lt;="&amp;F53))/Capacity!$B$3+(SUMIFS($D$2:$D$70,$B$2:$B$70,Capacity!$A$4,$F$2:$F$70,"&lt;="&amp;F53)-SUMIFS('Demand Projection'!$D$2:$D$169,'Demand Projection'!$B$2:$B$169,Capacity!$A$4,'Demand Projection'!$C$2:$C$169,"&lt;="&amp;F53))/Capacity!$B$4+(SUMIFS($D$2:$D$70,$B$2:$B$70,Capacity!$A$5,$F$2:$F$70,"&lt;="&amp;F53)-SUMIFS('Demand Projection'!$D$2:$D$169,'Demand Projection'!$B$2:$B$169,Capacity!$A$5,'Demand Projection'!$C$2:$C$169,"&lt;="&amp;F53))/Capacity!$B$5+(SUMIFS($D$2:$D$70,$B$2:$B$70,Capacity!$A$6,$F$2:$F$70,"&lt;="&amp;F53)-SUMIFS('Demand Projection'!$D$2:$D$169,'Demand Projection'!$B$2:$B$169,Capacity!$A$6,'Demand Projection'!$C$2:$C$169,"&lt;="&amp;F53))/Capacity!$B$6+(SUMIFS($D$2:$D$70,$B$2:$B$70,Capacity!$A$7,$F$2:$F$70,"&lt;="&amp;F53)-SUMIFS('Demand Projection'!$D$2:$D$169,'Demand Projection'!$B$2:$B$169,Capacity!$A$7,'Demand Projection'!$C$2:$C$169,"&lt;="&amp;F53))/Capacity!$B$7,2)</f>
        <v>1</v>
      </c>
    </row>
    <row r="54" customFormat="false" ht="15" hidden="false" customHeight="false" outlineLevel="0" collapsed="false">
      <c r="A54" s="0" t="n">
        <v>53</v>
      </c>
      <c r="B54" s="0" t="str">
        <f aca="false">INDEX(Helper!$B$2:$B$169,MATCH(A54-5,Helper!$K$2:$K$169,0))</f>
        <v>SKU PROD C</v>
      </c>
      <c r="C54" s="2" t="n">
        <f aca="false">INDEX(Helper!$C$2:$C$169,MATCH(A54-5,Helper!$K$2:$K$169,0))</f>
        <v>46270</v>
      </c>
      <c r="D54" s="0" t="n">
        <f aca="false">INDEX(Helper!$I$2:$I$169,MATCH(A54-5,Helper!$K$2:$K$169,0))</f>
        <v>1788</v>
      </c>
      <c r="E54" s="0" t="s">
        <v>17</v>
      </c>
      <c r="F54" s="2" t="n">
        <f aca="false">C54+3</f>
        <v>46273</v>
      </c>
      <c r="G54" s="3" t="n">
        <f aca="false">ROUND((SUMIFS($D$2:$D$70,$B$2:$B$70,Capacity!$A$3,$F$2:$F$70,"&lt;="&amp;F54)-SUMIFS('Demand Projection'!$D$2:$D$169,'Demand Projection'!$B$2:$B$169,Capacity!$A$3,'Demand Projection'!$C$2:$C$169,"&lt;="&amp;F54))/Capacity!$B$3+(SUMIFS($D$2:$D$70,$B$2:$B$70,Capacity!$A$4,$F$2:$F$70,"&lt;="&amp;F54)-SUMIFS('Demand Projection'!$D$2:$D$169,'Demand Projection'!$B$2:$B$169,Capacity!$A$4,'Demand Projection'!$C$2:$C$169,"&lt;="&amp;F54))/Capacity!$B$4+(SUMIFS($D$2:$D$70,$B$2:$B$70,Capacity!$A$5,$F$2:$F$70,"&lt;="&amp;F54)-SUMIFS('Demand Projection'!$D$2:$D$169,'Demand Projection'!$B$2:$B$169,Capacity!$A$5,'Demand Projection'!$C$2:$C$169,"&lt;="&amp;F54))/Capacity!$B$5+(SUMIFS($D$2:$D$70,$B$2:$B$70,Capacity!$A$6,$F$2:$F$70,"&lt;="&amp;F54)-SUMIFS('Demand Projection'!$D$2:$D$169,'Demand Projection'!$B$2:$B$169,Capacity!$A$6,'Demand Projection'!$C$2:$C$169,"&lt;="&amp;F54))/Capacity!$B$6+(SUMIFS($D$2:$D$70,$B$2:$B$70,Capacity!$A$7,$F$2:$F$70,"&lt;="&amp;F54)-SUMIFS('Demand Projection'!$D$2:$D$169,'Demand Projection'!$B$2:$B$169,Capacity!$A$7,'Demand Projection'!$C$2:$C$169,"&lt;="&amp;F54))/Capacity!$B$7,2)</f>
        <v>1.12</v>
      </c>
    </row>
    <row r="55" customFormat="false" ht="15" hidden="false" customHeight="false" outlineLevel="0" collapsed="false">
      <c r="A55" s="0" t="n">
        <v>54</v>
      </c>
      <c r="B55" s="0" t="str">
        <f aca="false">INDEX(Helper!$B$2:$B$169,MATCH(A55-5,Helper!$K$2:$K$169,0))</f>
        <v>SKU PROD D</v>
      </c>
      <c r="C55" s="2" t="n">
        <f aca="false">INDEX(Helper!$C$2:$C$169,MATCH(A55-5,Helper!$K$2:$K$169,0))</f>
        <v>46293</v>
      </c>
      <c r="D55" s="0" t="n">
        <f aca="false">INDEX(Helper!$I$2:$I$169,MATCH(A55-5,Helper!$K$2:$K$169,0))</f>
        <v>4168</v>
      </c>
      <c r="E55" s="0" t="s">
        <v>17</v>
      </c>
      <c r="F55" s="2" t="n">
        <f aca="false">C55+3</f>
        <v>46296</v>
      </c>
      <c r="G55" s="3" t="n">
        <f aca="false">ROUND((SUMIFS($D$2:$D$70,$B$2:$B$70,Capacity!$A$3,$F$2:$F$70,"&lt;="&amp;F55)-SUMIFS('Demand Projection'!$D$2:$D$169,'Demand Projection'!$B$2:$B$169,Capacity!$A$3,'Demand Projection'!$C$2:$C$169,"&lt;="&amp;F55))/Capacity!$B$3+(SUMIFS($D$2:$D$70,$B$2:$B$70,Capacity!$A$4,$F$2:$F$70,"&lt;="&amp;F55)-SUMIFS('Demand Projection'!$D$2:$D$169,'Demand Projection'!$B$2:$B$169,Capacity!$A$4,'Demand Projection'!$C$2:$C$169,"&lt;="&amp;F55))/Capacity!$B$4+(SUMIFS($D$2:$D$70,$B$2:$B$70,Capacity!$A$5,$F$2:$F$70,"&lt;="&amp;F55)-SUMIFS('Demand Projection'!$D$2:$D$169,'Demand Projection'!$B$2:$B$169,Capacity!$A$5,'Demand Projection'!$C$2:$C$169,"&lt;="&amp;F55))/Capacity!$B$5+(SUMIFS($D$2:$D$70,$B$2:$B$70,Capacity!$A$6,$F$2:$F$70,"&lt;="&amp;F55)-SUMIFS('Demand Projection'!$D$2:$D$169,'Demand Projection'!$B$2:$B$169,Capacity!$A$6,'Demand Projection'!$C$2:$C$169,"&lt;="&amp;F55))/Capacity!$B$6+(SUMIFS($D$2:$D$70,$B$2:$B$70,Capacity!$A$7,$F$2:$F$70,"&lt;="&amp;F55)-SUMIFS('Demand Projection'!$D$2:$D$169,'Demand Projection'!$B$2:$B$169,Capacity!$A$7,'Demand Projection'!$C$2:$C$169,"&lt;="&amp;F55))/Capacity!$B$7,2)</f>
        <v>1.03</v>
      </c>
    </row>
    <row r="56" customFormat="false" ht="15" hidden="false" customHeight="false" outlineLevel="0" collapsed="false">
      <c r="A56" s="0" t="n">
        <v>55</v>
      </c>
      <c r="B56" s="0" t="str">
        <f aca="false">INDEX(Helper!$B$2:$B$169,MATCH(A56-5,Helper!$K$2:$K$169,0))</f>
        <v>SKU PROD E</v>
      </c>
      <c r="C56" s="2" t="n">
        <f aca="false">INDEX(Helper!$C$2:$C$169,MATCH(A56-5,Helper!$K$2:$K$169,0))</f>
        <v>46293</v>
      </c>
      <c r="D56" s="0" t="n">
        <f aca="false">INDEX(Helper!$I$2:$I$169,MATCH(A56-5,Helper!$K$2:$K$169,0))</f>
        <v>2351</v>
      </c>
      <c r="E56" s="0" t="s">
        <v>17</v>
      </c>
      <c r="F56" s="2" t="n">
        <f aca="false">C56+3</f>
        <v>46296</v>
      </c>
      <c r="G56" s="3" t="n">
        <f aca="false">ROUND((SUMIFS($D$2:$D$70,$B$2:$B$70,Capacity!$A$3,$F$2:$F$70,"&lt;="&amp;F56)-SUMIFS('Demand Projection'!$D$2:$D$169,'Demand Projection'!$B$2:$B$169,Capacity!$A$3,'Demand Projection'!$C$2:$C$169,"&lt;="&amp;F56))/Capacity!$B$3+(SUMIFS($D$2:$D$70,$B$2:$B$70,Capacity!$A$4,$F$2:$F$70,"&lt;="&amp;F56)-SUMIFS('Demand Projection'!$D$2:$D$169,'Demand Projection'!$B$2:$B$169,Capacity!$A$4,'Demand Projection'!$C$2:$C$169,"&lt;="&amp;F56))/Capacity!$B$4+(SUMIFS($D$2:$D$70,$B$2:$B$70,Capacity!$A$5,$F$2:$F$70,"&lt;="&amp;F56)-SUMIFS('Demand Projection'!$D$2:$D$169,'Demand Projection'!$B$2:$B$169,Capacity!$A$5,'Demand Projection'!$C$2:$C$169,"&lt;="&amp;F56))/Capacity!$B$5+(SUMIFS($D$2:$D$70,$B$2:$B$70,Capacity!$A$6,$F$2:$F$70,"&lt;="&amp;F56)-SUMIFS('Demand Projection'!$D$2:$D$169,'Demand Projection'!$B$2:$B$169,Capacity!$A$6,'Demand Projection'!$C$2:$C$169,"&lt;="&amp;F56))/Capacity!$B$6+(SUMIFS($D$2:$D$70,$B$2:$B$70,Capacity!$A$7,$F$2:$F$70,"&lt;="&amp;F56)-SUMIFS('Demand Projection'!$D$2:$D$169,'Demand Projection'!$B$2:$B$169,Capacity!$A$7,'Demand Projection'!$C$2:$C$169,"&lt;="&amp;F56))/Capacity!$B$7,2)</f>
        <v>1.03</v>
      </c>
    </row>
    <row r="57" customFormat="false" ht="15" hidden="false" customHeight="false" outlineLevel="0" collapsed="false">
      <c r="A57" s="0" t="n">
        <v>56</v>
      </c>
      <c r="B57" s="0" t="str">
        <f aca="false">INDEX(Helper!$B$2:$B$169,MATCH(A57-5,Helper!$K$2:$K$169,0))</f>
        <v>SKU PROD B</v>
      </c>
      <c r="C57" s="2" t="n">
        <f aca="false">INDEX(Helper!$C$2:$C$169,MATCH(A57-5,Helper!$K$2:$K$169,0))</f>
        <v>46298</v>
      </c>
      <c r="D57" s="0" t="n">
        <f aca="false">INDEX(Helper!$I$2:$I$169,MATCH(A57-5,Helper!$K$2:$K$169,0))</f>
        <v>9417</v>
      </c>
      <c r="E57" s="0" t="s">
        <v>17</v>
      </c>
      <c r="F57" s="2" t="n">
        <f aca="false">C57+3</f>
        <v>46301</v>
      </c>
      <c r="G57" s="3" t="n">
        <f aca="false">ROUND((SUMIFS($D$2:$D$70,$B$2:$B$70,Capacity!$A$3,$F$2:$F$70,"&lt;="&amp;F57)-SUMIFS('Demand Projection'!$D$2:$D$169,'Demand Projection'!$B$2:$B$169,Capacity!$A$3,'Demand Projection'!$C$2:$C$169,"&lt;="&amp;F57))/Capacity!$B$3+(SUMIFS($D$2:$D$70,$B$2:$B$70,Capacity!$A$4,$F$2:$F$70,"&lt;="&amp;F57)-SUMIFS('Demand Projection'!$D$2:$D$169,'Demand Projection'!$B$2:$B$169,Capacity!$A$4,'Demand Projection'!$C$2:$C$169,"&lt;="&amp;F57))/Capacity!$B$4+(SUMIFS($D$2:$D$70,$B$2:$B$70,Capacity!$A$5,$F$2:$F$70,"&lt;="&amp;F57)-SUMIFS('Demand Projection'!$D$2:$D$169,'Demand Projection'!$B$2:$B$169,Capacity!$A$5,'Demand Projection'!$C$2:$C$169,"&lt;="&amp;F57))/Capacity!$B$5+(SUMIFS($D$2:$D$70,$B$2:$B$70,Capacity!$A$6,$F$2:$F$70,"&lt;="&amp;F57)-SUMIFS('Demand Projection'!$D$2:$D$169,'Demand Projection'!$B$2:$B$169,Capacity!$A$6,'Demand Projection'!$C$2:$C$169,"&lt;="&amp;F57))/Capacity!$B$6+(SUMIFS($D$2:$D$70,$B$2:$B$70,Capacity!$A$7,$F$2:$F$70,"&lt;="&amp;F57)-SUMIFS('Demand Projection'!$D$2:$D$169,'Demand Projection'!$B$2:$B$169,Capacity!$A$7,'Demand Projection'!$C$2:$C$169,"&lt;="&amp;F57))/Capacity!$B$7,2)</f>
        <v>1.04</v>
      </c>
    </row>
    <row r="58" customFormat="false" ht="15" hidden="false" customHeight="false" outlineLevel="0" collapsed="false">
      <c r="A58" s="0" t="n">
        <v>57</v>
      </c>
      <c r="B58" s="0" t="str">
        <f aca="false">INDEX(Helper!$B$2:$B$169,MATCH(A58-5,Helper!$K$2:$K$169,0))</f>
        <v>SKU PROD C</v>
      </c>
      <c r="C58" s="2" t="n">
        <f aca="false">INDEX(Helper!$C$2:$C$169,MATCH(A58-5,Helper!$K$2:$K$169,0))</f>
        <v>46300</v>
      </c>
      <c r="D58" s="0" t="n">
        <f aca="false">INDEX(Helper!$I$2:$I$169,MATCH(A58-5,Helper!$K$2:$K$169,0))</f>
        <v>1556</v>
      </c>
      <c r="E58" s="0" t="s">
        <v>17</v>
      </c>
      <c r="F58" s="2" t="n">
        <f aca="false">C58+3</f>
        <v>46303</v>
      </c>
      <c r="G58" s="3" t="n">
        <f aca="false">ROUND((SUMIFS($D$2:$D$70,$B$2:$B$70,Capacity!$A$3,$F$2:$F$70,"&lt;="&amp;F58)-SUMIFS('Demand Projection'!$D$2:$D$169,'Demand Projection'!$B$2:$B$169,Capacity!$A$3,'Demand Projection'!$C$2:$C$169,"&lt;="&amp;F58))/Capacity!$B$3+(SUMIFS($D$2:$D$70,$B$2:$B$70,Capacity!$A$4,$F$2:$F$70,"&lt;="&amp;F58)-SUMIFS('Demand Projection'!$D$2:$D$169,'Demand Projection'!$B$2:$B$169,Capacity!$A$4,'Demand Projection'!$C$2:$C$169,"&lt;="&amp;F58))/Capacity!$B$4+(SUMIFS($D$2:$D$70,$B$2:$B$70,Capacity!$A$5,$F$2:$F$70,"&lt;="&amp;F58)-SUMIFS('Demand Projection'!$D$2:$D$169,'Demand Projection'!$B$2:$B$169,Capacity!$A$5,'Demand Projection'!$C$2:$C$169,"&lt;="&amp;F58))/Capacity!$B$5+(SUMIFS($D$2:$D$70,$B$2:$B$70,Capacity!$A$6,$F$2:$F$70,"&lt;="&amp;F58)-SUMIFS('Demand Projection'!$D$2:$D$169,'Demand Projection'!$B$2:$B$169,Capacity!$A$6,'Demand Projection'!$C$2:$C$169,"&lt;="&amp;F58))/Capacity!$B$6+(SUMIFS($D$2:$D$70,$B$2:$B$70,Capacity!$A$7,$F$2:$F$70,"&lt;="&amp;F58)-SUMIFS('Demand Projection'!$D$2:$D$169,'Demand Projection'!$B$2:$B$169,Capacity!$A$7,'Demand Projection'!$C$2:$C$169,"&lt;="&amp;F58))/Capacity!$B$7,2)</f>
        <v>1.07</v>
      </c>
    </row>
    <row r="59" customFormat="false" ht="15" hidden="false" customHeight="false" outlineLevel="0" collapsed="false">
      <c r="A59" s="0" t="n">
        <v>58</v>
      </c>
      <c r="B59" s="0" t="str">
        <f aca="false">INDEX(Helper!$B$2:$B$169,MATCH(A59-5,Helper!$K$2:$K$169,0))</f>
        <v>SKU PROD D</v>
      </c>
      <c r="C59" s="2" t="n">
        <f aca="false">INDEX(Helper!$C$2:$C$169,MATCH(A59-5,Helper!$K$2:$K$169,0))</f>
        <v>46323</v>
      </c>
      <c r="D59" s="0" t="n">
        <f aca="false">INDEX(Helper!$I$2:$I$169,MATCH(A59-5,Helper!$K$2:$K$169,0))</f>
        <v>3937</v>
      </c>
      <c r="E59" s="0" t="s">
        <v>17</v>
      </c>
      <c r="F59" s="2" t="n">
        <f aca="false">C59+3</f>
        <v>46326</v>
      </c>
      <c r="G59" s="3" t="n">
        <f aca="false">ROUND((SUMIFS($D$2:$D$70,$B$2:$B$70,Capacity!$A$3,$F$2:$F$70,"&lt;="&amp;F59)-SUMIFS('Demand Projection'!$D$2:$D$169,'Demand Projection'!$B$2:$B$169,Capacity!$A$3,'Demand Projection'!$C$2:$C$169,"&lt;="&amp;F59))/Capacity!$B$3+(SUMIFS($D$2:$D$70,$B$2:$B$70,Capacity!$A$4,$F$2:$F$70,"&lt;="&amp;F59)-SUMIFS('Demand Projection'!$D$2:$D$169,'Demand Projection'!$B$2:$B$169,Capacity!$A$4,'Demand Projection'!$C$2:$C$169,"&lt;="&amp;F59))/Capacity!$B$4+(SUMIFS($D$2:$D$70,$B$2:$B$70,Capacity!$A$5,$F$2:$F$70,"&lt;="&amp;F59)-SUMIFS('Demand Projection'!$D$2:$D$169,'Demand Projection'!$B$2:$B$169,Capacity!$A$5,'Demand Projection'!$C$2:$C$169,"&lt;="&amp;F59))/Capacity!$B$5+(SUMIFS($D$2:$D$70,$B$2:$B$70,Capacity!$A$6,$F$2:$F$70,"&lt;="&amp;F59)-SUMIFS('Demand Projection'!$D$2:$D$169,'Demand Projection'!$B$2:$B$169,Capacity!$A$6,'Demand Projection'!$C$2:$C$169,"&lt;="&amp;F59))/Capacity!$B$6+(SUMIFS($D$2:$D$70,$B$2:$B$70,Capacity!$A$7,$F$2:$F$70,"&lt;="&amp;F59)-SUMIFS('Demand Projection'!$D$2:$D$169,'Demand Projection'!$B$2:$B$169,Capacity!$A$7,'Demand Projection'!$C$2:$C$169,"&lt;="&amp;F59))/Capacity!$B$7,2)</f>
        <v>0.99</v>
      </c>
    </row>
    <row r="60" customFormat="false" ht="15" hidden="false" customHeight="false" outlineLevel="0" collapsed="false">
      <c r="A60" s="0" t="n">
        <v>59</v>
      </c>
      <c r="B60" s="0" t="str">
        <f aca="false">INDEX(Helper!$B$2:$B$169,MATCH(A60-5,Helper!$K$2:$K$169,0))</f>
        <v>SKU PROD E</v>
      </c>
      <c r="C60" s="2" t="n">
        <f aca="false">INDEX(Helper!$C$2:$C$169,MATCH(A60-5,Helper!$K$2:$K$169,0))</f>
        <v>46323</v>
      </c>
      <c r="D60" s="0" t="n">
        <f aca="false">INDEX(Helper!$I$2:$I$169,MATCH(A60-5,Helper!$K$2:$K$169,0))</f>
        <v>2234</v>
      </c>
      <c r="E60" s="0" t="s">
        <v>17</v>
      </c>
      <c r="F60" s="2" t="n">
        <f aca="false">C60+3</f>
        <v>46326</v>
      </c>
      <c r="G60" s="3" t="n">
        <f aca="false">ROUND((SUMIFS($D$2:$D$70,$B$2:$B$70,Capacity!$A$3,$F$2:$F$70,"&lt;="&amp;F60)-SUMIFS('Demand Projection'!$D$2:$D$169,'Demand Projection'!$B$2:$B$169,Capacity!$A$3,'Demand Projection'!$C$2:$C$169,"&lt;="&amp;F60))/Capacity!$B$3+(SUMIFS($D$2:$D$70,$B$2:$B$70,Capacity!$A$4,$F$2:$F$70,"&lt;="&amp;F60)-SUMIFS('Demand Projection'!$D$2:$D$169,'Demand Projection'!$B$2:$B$169,Capacity!$A$4,'Demand Projection'!$C$2:$C$169,"&lt;="&amp;F60))/Capacity!$B$4+(SUMIFS($D$2:$D$70,$B$2:$B$70,Capacity!$A$5,$F$2:$F$70,"&lt;="&amp;F60)-SUMIFS('Demand Projection'!$D$2:$D$169,'Demand Projection'!$B$2:$B$169,Capacity!$A$5,'Demand Projection'!$C$2:$C$169,"&lt;="&amp;F60))/Capacity!$B$5+(SUMIFS($D$2:$D$70,$B$2:$B$70,Capacity!$A$6,$F$2:$F$70,"&lt;="&amp;F60)-SUMIFS('Demand Projection'!$D$2:$D$169,'Demand Projection'!$B$2:$B$169,Capacity!$A$6,'Demand Projection'!$C$2:$C$169,"&lt;="&amp;F60))/Capacity!$B$6+(SUMIFS($D$2:$D$70,$B$2:$B$70,Capacity!$A$7,$F$2:$F$70,"&lt;="&amp;F60)-SUMIFS('Demand Projection'!$D$2:$D$169,'Demand Projection'!$B$2:$B$169,Capacity!$A$7,'Demand Projection'!$C$2:$C$169,"&lt;="&amp;F60))/Capacity!$B$7,2)</f>
        <v>0.99</v>
      </c>
    </row>
    <row r="61" customFormat="false" ht="15" hidden="false" customHeight="false" outlineLevel="0" collapsed="false">
      <c r="A61" s="0" t="n">
        <v>60</v>
      </c>
      <c r="B61" s="0" t="str">
        <f aca="false">INDEX(Helper!$B$2:$B$169,MATCH(A61-5,Helper!$K$2:$K$169,0))</f>
        <v>SKU PROD A</v>
      </c>
      <c r="C61" s="2" t="n">
        <f aca="false">INDEX(Helper!$C$2:$C$169,MATCH(A61-5,Helper!$K$2:$K$169,0))</f>
        <v>46329</v>
      </c>
      <c r="D61" s="0" t="n">
        <f aca="false">INDEX(Helper!$I$2:$I$169,MATCH(A61-5,Helper!$K$2:$K$169,0))</f>
        <v>2136</v>
      </c>
      <c r="E61" s="0" t="s">
        <v>17</v>
      </c>
      <c r="F61" s="2" t="n">
        <f aca="false">C61+3</f>
        <v>46332</v>
      </c>
      <c r="G61" s="3" t="n">
        <f aca="false">ROUND((SUMIFS($D$2:$D$70,$B$2:$B$70,Capacity!$A$3,$F$2:$F$70,"&lt;="&amp;F61)-SUMIFS('Demand Projection'!$D$2:$D$169,'Demand Projection'!$B$2:$B$169,Capacity!$A$3,'Demand Projection'!$C$2:$C$169,"&lt;="&amp;F61))/Capacity!$B$3+(SUMIFS($D$2:$D$70,$B$2:$B$70,Capacity!$A$4,$F$2:$F$70,"&lt;="&amp;F61)-SUMIFS('Demand Projection'!$D$2:$D$169,'Demand Projection'!$B$2:$B$169,Capacity!$A$4,'Demand Projection'!$C$2:$C$169,"&lt;="&amp;F61))/Capacity!$B$4+(SUMIFS($D$2:$D$70,$B$2:$B$70,Capacity!$A$5,$F$2:$F$70,"&lt;="&amp;F61)-SUMIFS('Demand Projection'!$D$2:$D$169,'Demand Projection'!$B$2:$B$169,Capacity!$A$5,'Demand Projection'!$C$2:$C$169,"&lt;="&amp;F61))/Capacity!$B$5+(SUMIFS($D$2:$D$70,$B$2:$B$70,Capacity!$A$6,$F$2:$F$70,"&lt;="&amp;F61)-SUMIFS('Demand Projection'!$D$2:$D$169,'Demand Projection'!$B$2:$B$169,Capacity!$A$6,'Demand Projection'!$C$2:$C$169,"&lt;="&amp;F61))/Capacity!$B$6+(SUMIFS($D$2:$D$70,$B$2:$B$70,Capacity!$A$7,$F$2:$F$70,"&lt;="&amp;F61)-SUMIFS('Demand Projection'!$D$2:$D$169,'Demand Projection'!$B$2:$B$169,Capacity!$A$7,'Demand Projection'!$C$2:$C$169,"&lt;="&amp;F61))/Capacity!$B$7,2)</f>
        <v>0.79</v>
      </c>
    </row>
    <row r="62" customFormat="false" ht="15" hidden="false" customHeight="false" outlineLevel="0" collapsed="false">
      <c r="A62" s="0" t="n">
        <v>61</v>
      </c>
      <c r="B62" s="0" t="str">
        <f aca="false">INDEX(Helper!$B$2:$B$169,MATCH(A62-5,Helper!$K$2:$K$169,0))</f>
        <v>SKU PROD A</v>
      </c>
      <c r="C62" s="2" t="n">
        <f aca="false">INDEX(Helper!$C$2:$C$169,MATCH(A62-5,Helper!$K$2:$K$169,0))</f>
        <v>46330</v>
      </c>
      <c r="D62" s="0" t="n">
        <f aca="false">INDEX(Helper!$I$2:$I$169,MATCH(A62-5,Helper!$K$2:$K$169,0))</f>
        <v>2458</v>
      </c>
      <c r="E62" s="0" t="s">
        <v>17</v>
      </c>
      <c r="F62" s="2" t="n">
        <f aca="false">C62+3</f>
        <v>46333</v>
      </c>
      <c r="G62" s="3" t="n">
        <f aca="false">ROUND((SUMIFS($D$2:$D$70,$B$2:$B$70,Capacity!$A$3,$F$2:$F$70,"&lt;="&amp;F62)-SUMIFS('Demand Projection'!$D$2:$D$169,'Demand Projection'!$B$2:$B$169,Capacity!$A$3,'Demand Projection'!$C$2:$C$169,"&lt;="&amp;F62))/Capacity!$B$3+(SUMIFS($D$2:$D$70,$B$2:$B$70,Capacity!$A$4,$F$2:$F$70,"&lt;="&amp;F62)-SUMIFS('Demand Projection'!$D$2:$D$169,'Demand Projection'!$B$2:$B$169,Capacity!$A$4,'Demand Projection'!$C$2:$C$169,"&lt;="&amp;F62))/Capacity!$B$4+(SUMIFS($D$2:$D$70,$B$2:$B$70,Capacity!$A$5,$F$2:$F$70,"&lt;="&amp;F62)-SUMIFS('Demand Projection'!$D$2:$D$169,'Demand Projection'!$B$2:$B$169,Capacity!$A$5,'Demand Projection'!$C$2:$C$169,"&lt;="&amp;F62))/Capacity!$B$5+(SUMIFS($D$2:$D$70,$B$2:$B$70,Capacity!$A$6,$F$2:$F$70,"&lt;="&amp;F62)-SUMIFS('Demand Projection'!$D$2:$D$169,'Demand Projection'!$B$2:$B$169,Capacity!$A$6,'Demand Projection'!$C$2:$C$169,"&lt;="&amp;F62))/Capacity!$B$6+(SUMIFS($D$2:$D$70,$B$2:$B$70,Capacity!$A$7,$F$2:$F$70,"&lt;="&amp;F62)-SUMIFS('Demand Projection'!$D$2:$D$169,'Demand Projection'!$B$2:$B$169,Capacity!$A$7,'Demand Projection'!$C$2:$C$169,"&lt;="&amp;F62))/Capacity!$B$7,2)</f>
        <v>0.95</v>
      </c>
    </row>
    <row r="63" customFormat="false" ht="15" hidden="false" customHeight="false" outlineLevel="0" collapsed="false">
      <c r="A63" s="0" t="n">
        <v>62</v>
      </c>
      <c r="B63" s="0" t="str">
        <f aca="false">INDEX(Helper!$B$2:$B$169,MATCH(A63-5,Helper!$K$2:$K$169,0))</f>
        <v>SKU PROD C</v>
      </c>
      <c r="C63" s="2" t="n">
        <f aca="false">INDEX(Helper!$C$2:$C$169,MATCH(A63-5,Helper!$K$2:$K$169,0))</f>
        <v>46331</v>
      </c>
      <c r="D63" s="0" t="n">
        <f aca="false">INDEX(Helper!$I$2:$I$169,MATCH(A63-5,Helper!$K$2:$K$169,0))</f>
        <v>1570</v>
      </c>
      <c r="E63" s="0" t="s">
        <v>17</v>
      </c>
      <c r="F63" s="2" t="n">
        <f aca="false">C63+3</f>
        <v>46334</v>
      </c>
      <c r="G63" s="3" t="n">
        <f aca="false">ROUND((SUMIFS($D$2:$D$70,$B$2:$B$70,Capacity!$A$3,$F$2:$F$70,"&lt;="&amp;F63)-SUMIFS('Demand Projection'!$D$2:$D$169,'Demand Projection'!$B$2:$B$169,Capacity!$A$3,'Demand Projection'!$C$2:$C$169,"&lt;="&amp;F63))/Capacity!$B$3+(SUMIFS($D$2:$D$70,$B$2:$B$70,Capacity!$A$4,$F$2:$F$70,"&lt;="&amp;F63)-SUMIFS('Demand Projection'!$D$2:$D$169,'Demand Projection'!$B$2:$B$169,Capacity!$A$4,'Demand Projection'!$C$2:$C$169,"&lt;="&amp;F63))/Capacity!$B$4+(SUMIFS($D$2:$D$70,$B$2:$B$70,Capacity!$A$5,$F$2:$F$70,"&lt;="&amp;F63)-SUMIFS('Demand Projection'!$D$2:$D$169,'Demand Projection'!$B$2:$B$169,Capacity!$A$5,'Demand Projection'!$C$2:$C$169,"&lt;="&amp;F63))/Capacity!$B$5+(SUMIFS($D$2:$D$70,$B$2:$B$70,Capacity!$A$6,$F$2:$F$70,"&lt;="&amp;F63)-SUMIFS('Demand Projection'!$D$2:$D$169,'Demand Projection'!$B$2:$B$169,Capacity!$A$6,'Demand Projection'!$C$2:$C$169,"&lt;="&amp;F63))/Capacity!$B$6+(SUMIFS($D$2:$D$70,$B$2:$B$70,Capacity!$A$7,$F$2:$F$70,"&lt;="&amp;F63)-SUMIFS('Demand Projection'!$D$2:$D$169,'Demand Projection'!$B$2:$B$169,Capacity!$A$7,'Demand Projection'!$C$2:$C$169,"&lt;="&amp;F63))/Capacity!$B$7,2)</f>
        <v>1.06</v>
      </c>
    </row>
    <row r="64" customFormat="false" ht="15" hidden="false" customHeight="false" outlineLevel="0" collapsed="false">
      <c r="A64" s="0" t="n">
        <v>63</v>
      </c>
      <c r="B64" s="0" t="str">
        <f aca="false">INDEX(Helper!$B$2:$B$169,MATCH(A64-5,Helper!$K$2:$K$169,0))</f>
        <v>SKU PROD D</v>
      </c>
      <c r="C64" s="2" t="n">
        <f aca="false">INDEX(Helper!$C$2:$C$169,MATCH(A64-5,Helper!$K$2:$K$169,0))</f>
        <v>46354</v>
      </c>
      <c r="D64" s="0" t="n">
        <f aca="false">INDEX(Helper!$I$2:$I$169,MATCH(A64-5,Helper!$K$2:$K$169,0))</f>
        <v>4200</v>
      </c>
      <c r="E64" s="0" t="s">
        <v>17</v>
      </c>
      <c r="F64" s="2" t="n">
        <f aca="false">C64+3</f>
        <v>46357</v>
      </c>
      <c r="G64" s="3" t="n">
        <f aca="false">ROUND((SUMIFS($D$2:$D$70,$B$2:$B$70,Capacity!$A$3,$F$2:$F$70,"&lt;="&amp;F64)-SUMIFS('Demand Projection'!$D$2:$D$169,'Demand Projection'!$B$2:$B$169,Capacity!$A$3,'Demand Projection'!$C$2:$C$169,"&lt;="&amp;F64))/Capacity!$B$3+(SUMIFS($D$2:$D$70,$B$2:$B$70,Capacity!$A$4,$F$2:$F$70,"&lt;="&amp;F64)-SUMIFS('Demand Projection'!$D$2:$D$169,'Demand Projection'!$B$2:$B$169,Capacity!$A$4,'Demand Projection'!$C$2:$C$169,"&lt;="&amp;F64))/Capacity!$B$4+(SUMIFS($D$2:$D$70,$B$2:$B$70,Capacity!$A$5,$F$2:$F$70,"&lt;="&amp;F64)-SUMIFS('Demand Projection'!$D$2:$D$169,'Demand Projection'!$B$2:$B$169,Capacity!$A$5,'Demand Projection'!$C$2:$C$169,"&lt;="&amp;F64))/Capacity!$B$5+(SUMIFS($D$2:$D$70,$B$2:$B$70,Capacity!$A$6,$F$2:$F$70,"&lt;="&amp;F64)-SUMIFS('Demand Projection'!$D$2:$D$169,'Demand Projection'!$B$2:$B$169,Capacity!$A$6,'Demand Projection'!$C$2:$C$169,"&lt;="&amp;F64))/Capacity!$B$6+(SUMIFS($D$2:$D$70,$B$2:$B$70,Capacity!$A$7,$F$2:$F$70,"&lt;="&amp;F64)-SUMIFS('Demand Projection'!$D$2:$D$169,'Demand Projection'!$B$2:$B$169,Capacity!$A$7,'Demand Projection'!$C$2:$C$169,"&lt;="&amp;F64))/Capacity!$B$7,2)</f>
        <v>0.97</v>
      </c>
    </row>
    <row r="65" customFormat="false" ht="15" hidden="false" customHeight="false" outlineLevel="0" collapsed="false">
      <c r="A65" s="0" t="n">
        <v>64</v>
      </c>
      <c r="B65" s="0" t="str">
        <f aca="false">INDEX(Helper!$B$2:$B$169,MATCH(A65-5,Helper!$K$2:$K$169,0))</f>
        <v>SKU PROD E</v>
      </c>
      <c r="C65" s="2" t="n">
        <f aca="false">INDEX(Helper!$C$2:$C$169,MATCH(A65-5,Helper!$K$2:$K$169,0))</f>
        <v>46354</v>
      </c>
      <c r="D65" s="0" t="n">
        <f aca="false">INDEX(Helper!$I$2:$I$169,MATCH(A65-5,Helper!$K$2:$K$169,0))</f>
        <v>2384</v>
      </c>
      <c r="E65" s="0" t="s">
        <v>17</v>
      </c>
      <c r="F65" s="2" t="n">
        <f aca="false">C65+3</f>
        <v>46357</v>
      </c>
      <c r="G65" s="3" t="n">
        <f aca="false">ROUND((SUMIFS($D$2:$D$70,$B$2:$B$70,Capacity!$A$3,$F$2:$F$70,"&lt;="&amp;F65)-SUMIFS('Demand Projection'!$D$2:$D$169,'Demand Projection'!$B$2:$B$169,Capacity!$A$3,'Demand Projection'!$C$2:$C$169,"&lt;="&amp;F65))/Capacity!$B$3+(SUMIFS($D$2:$D$70,$B$2:$B$70,Capacity!$A$4,$F$2:$F$70,"&lt;="&amp;F65)-SUMIFS('Demand Projection'!$D$2:$D$169,'Demand Projection'!$B$2:$B$169,Capacity!$A$4,'Demand Projection'!$C$2:$C$169,"&lt;="&amp;F65))/Capacity!$B$4+(SUMIFS($D$2:$D$70,$B$2:$B$70,Capacity!$A$5,$F$2:$F$70,"&lt;="&amp;F65)-SUMIFS('Demand Projection'!$D$2:$D$169,'Demand Projection'!$B$2:$B$169,Capacity!$A$5,'Demand Projection'!$C$2:$C$169,"&lt;="&amp;F65))/Capacity!$B$5+(SUMIFS($D$2:$D$70,$B$2:$B$70,Capacity!$A$6,$F$2:$F$70,"&lt;="&amp;F65)-SUMIFS('Demand Projection'!$D$2:$D$169,'Demand Projection'!$B$2:$B$169,Capacity!$A$6,'Demand Projection'!$C$2:$C$169,"&lt;="&amp;F65))/Capacity!$B$6+(SUMIFS($D$2:$D$70,$B$2:$B$70,Capacity!$A$7,$F$2:$F$70,"&lt;="&amp;F65)-SUMIFS('Demand Projection'!$D$2:$D$169,'Demand Projection'!$B$2:$B$169,Capacity!$A$7,'Demand Projection'!$C$2:$C$169,"&lt;="&amp;F65))/Capacity!$B$7,2)</f>
        <v>0.97</v>
      </c>
    </row>
    <row r="66" customFormat="false" ht="15" hidden="false" customHeight="false" outlineLevel="0" collapsed="false">
      <c r="A66" s="0" t="n">
        <v>65</v>
      </c>
      <c r="B66" s="0" t="str">
        <f aca="false">INDEX(Helper!$B$2:$B$169,MATCH(A66-5,Helper!$K$2:$K$169,0))</f>
        <v>SKU PROD B</v>
      </c>
      <c r="C66" s="2" t="n">
        <f aca="false">INDEX(Helper!$C$2:$C$169,MATCH(A66-5,Helper!$K$2:$K$169,0))</f>
        <v>46359</v>
      </c>
      <c r="D66" s="0" t="n">
        <f aca="false">INDEX(Helper!$I$2:$I$169,MATCH(A66-5,Helper!$K$2:$K$169,0))</f>
        <v>10637</v>
      </c>
      <c r="E66" s="0" t="s">
        <v>17</v>
      </c>
      <c r="F66" s="2" t="n">
        <f aca="false">C66+3</f>
        <v>46362</v>
      </c>
      <c r="G66" s="3" t="n">
        <f aca="false">ROUND((SUMIFS($D$2:$D$70,$B$2:$B$70,Capacity!$A$3,$F$2:$F$70,"&lt;="&amp;F66)-SUMIFS('Demand Projection'!$D$2:$D$169,'Demand Projection'!$B$2:$B$169,Capacity!$A$3,'Demand Projection'!$C$2:$C$169,"&lt;="&amp;F66))/Capacity!$B$3+(SUMIFS($D$2:$D$70,$B$2:$B$70,Capacity!$A$4,$F$2:$F$70,"&lt;="&amp;F66)-SUMIFS('Demand Projection'!$D$2:$D$169,'Demand Projection'!$B$2:$B$169,Capacity!$A$4,'Demand Projection'!$C$2:$C$169,"&lt;="&amp;F66))/Capacity!$B$4+(SUMIFS($D$2:$D$70,$B$2:$B$70,Capacity!$A$5,$F$2:$F$70,"&lt;="&amp;F66)-SUMIFS('Demand Projection'!$D$2:$D$169,'Demand Projection'!$B$2:$B$169,Capacity!$A$5,'Demand Projection'!$C$2:$C$169,"&lt;="&amp;F66))/Capacity!$B$5+(SUMIFS($D$2:$D$70,$B$2:$B$70,Capacity!$A$6,$F$2:$F$70,"&lt;="&amp;F66)-SUMIFS('Demand Projection'!$D$2:$D$169,'Demand Projection'!$B$2:$B$169,Capacity!$A$6,'Demand Projection'!$C$2:$C$169,"&lt;="&amp;F66))/Capacity!$B$6+(SUMIFS($D$2:$D$70,$B$2:$B$70,Capacity!$A$7,$F$2:$F$70,"&lt;="&amp;F66)-SUMIFS('Demand Projection'!$D$2:$D$169,'Demand Projection'!$B$2:$B$169,Capacity!$A$7,'Demand Projection'!$C$2:$C$169,"&lt;="&amp;F66))/Capacity!$B$7,2)</f>
        <v>0.96</v>
      </c>
    </row>
    <row r="67" customFormat="false" ht="15" hidden="false" customHeight="false" outlineLevel="0" collapsed="false">
      <c r="A67" s="0" t="n">
        <v>66</v>
      </c>
      <c r="B67" s="0" t="str">
        <f aca="false">INDEX(Helper!$B$2:$B$169,MATCH(A67-5,Helper!$K$2:$K$169,0))</f>
        <v>SKU PROD C</v>
      </c>
      <c r="C67" s="2" t="n">
        <f aca="false">INDEX(Helper!$C$2:$C$169,MATCH(A67-5,Helper!$K$2:$K$169,0))</f>
        <v>46361</v>
      </c>
      <c r="D67" s="0" t="n">
        <f aca="false">INDEX(Helper!$I$2:$I$169,MATCH(A67-5,Helper!$K$2:$K$169,0))</f>
        <v>1687</v>
      </c>
      <c r="E67" s="0" t="s">
        <v>17</v>
      </c>
      <c r="F67" s="2" t="n">
        <f aca="false">C67+3</f>
        <v>46364</v>
      </c>
      <c r="G67" s="3" t="n">
        <f aca="false">ROUND((SUMIFS($D$2:$D$70,$B$2:$B$70,Capacity!$A$3,$F$2:$F$70,"&lt;="&amp;F67)-SUMIFS('Demand Projection'!$D$2:$D$169,'Demand Projection'!$B$2:$B$169,Capacity!$A$3,'Demand Projection'!$C$2:$C$169,"&lt;="&amp;F67))/Capacity!$B$3+(SUMIFS($D$2:$D$70,$B$2:$B$70,Capacity!$A$4,$F$2:$F$70,"&lt;="&amp;F67)-SUMIFS('Demand Projection'!$D$2:$D$169,'Demand Projection'!$B$2:$B$169,Capacity!$A$4,'Demand Projection'!$C$2:$C$169,"&lt;="&amp;F67))/Capacity!$B$4+(SUMIFS($D$2:$D$70,$B$2:$B$70,Capacity!$A$5,$F$2:$F$70,"&lt;="&amp;F67)-SUMIFS('Demand Projection'!$D$2:$D$169,'Demand Projection'!$B$2:$B$169,Capacity!$A$5,'Demand Projection'!$C$2:$C$169,"&lt;="&amp;F67))/Capacity!$B$5+(SUMIFS($D$2:$D$70,$B$2:$B$70,Capacity!$A$6,$F$2:$F$70,"&lt;="&amp;F67)-SUMIFS('Demand Projection'!$D$2:$D$169,'Demand Projection'!$B$2:$B$169,Capacity!$A$6,'Demand Projection'!$C$2:$C$169,"&lt;="&amp;F67))/Capacity!$B$6+(SUMIFS($D$2:$D$70,$B$2:$B$70,Capacity!$A$7,$F$2:$F$70,"&lt;="&amp;F67)-SUMIFS('Demand Projection'!$D$2:$D$169,'Demand Projection'!$B$2:$B$169,Capacity!$A$7,'Demand Projection'!$C$2:$C$169,"&lt;="&amp;F67))/Capacity!$B$7,2)</f>
        <v>0.98</v>
      </c>
    </row>
    <row r="68" customFormat="false" ht="15" hidden="false" customHeight="false" outlineLevel="0" collapsed="false">
      <c r="A68" s="0" t="n">
        <v>67</v>
      </c>
      <c r="B68" s="0" t="str">
        <f aca="false">INDEX(Helper!$B$2:$B$169,MATCH(A68-5,Helper!$K$2:$K$169,0))</f>
        <v>SKU PROD A</v>
      </c>
      <c r="C68" s="2" t="n">
        <f aca="false">INDEX(Helper!$C$2:$C$169,MATCH(A68-5,Helper!$K$2:$K$169,0))</f>
        <v>46380</v>
      </c>
      <c r="D68" s="0" t="n">
        <f aca="false">INDEX(Helper!$I$2:$I$169,MATCH(A68-5,Helper!$K$2:$K$169,0))</f>
        <v>2227</v>
      </c>
      <c r="E68" s="0" t="s">
        <v>17</v>
      </c>
      <c r="F68" s="2" t="n">
        <f aca="false">C68+3</f>
        <v>46383</v>
      </c>
      <c r="G68" s="3" t="n">
        <f aca="false">ROUND((SUMIFS($D$2:$D$70,$B$2:$B$70,Capacity!$A$3,$F$2:$F$70,"&lt;="&amp;F68)-SUMIFS('Demand Projection'!$D$2:$D$169,'Demand Projection'!$B$2:$B$169,Capacity!$A$3,'Demand Projection'!$C$2:$C$169,"&lt;="&amp;F68))/Capacity!$B$3+(SUMIFS($D$2:$D$70,$B$2:$B$70,Capacity!$A$4,$F$2:$F$70,"&lt;="&amp;F68)-SUMIFS('Demand Projection'!$D$2:$D$169,'Demand Projection'!$B$2:$B$169,Capacity!$A$4,'Demand Projection'!$C$2:$C$169,"&lt;="&amp;F68))/Capacity!$B$4+(SUMIFS($D$2:$D$70,$B$2:$B$70,Capacity!$A$5,$F$2:$F$70,"&lt;="&amp;F68)-SUMIFS('Demand Projection'!$D$2:$D$169,'Demand Projection'!$B$2:$B$169,Capacity!$A$5,'Demand Projection'!$C$2:$C$169,"&lt;="&amp;F68))/Capacity!$B$5+(SUMIFS($D$2:$D$70,$B$2:$B$70,Capacity!$A$6,$F$2:$F$70,"&lt;="&amp;F68)-SUMIFS('Demand Projection'!$D$2:$D$169,'Demand Projection'!$B$2:$B$169,Capacity!$A$6,'Demand Projection'!$C$2:$C$169,"&lt;="&amp;F68))/Capacity!$B$6+(SUMIFS($D$2:$D$70,$B$2:$B$70,Capacity!$A$7,$F$2:$F$70,"&lt;="&amp;F68)-SUMIFS('Demand Projection'!$D$2:$D$169,'Demand Projection'!$B$2:$B$169,Capacity!$A$7,'Demand Projection'!$C$2:$C$169,"&lt;="&amp;F68))/Capacity!$B$7,2)</f>
        <v>0.95</v>
      </c>
    </row>
    <row r="69" customFormat="false" ht="15" hidden="false" customHeight="false" outlineLevel="0" collapsed="false">
      <c r="A69" s="0" t="n">
        <v>68</v>
      </c>
      <c r="B69" s="0" t="str">
        <f aca="false">INDEX(Helper!$B$2:$B$169,MATCH(A69-5,Helper!$K$2:$K$169,0))</f>
        <v>SKU PROD D</v>
      </c>
      <c r="C69" s="2" t="n">
        <f aca="false">INDEX(Helper!$C$2:$C$169,MATCH(A69-5,Helper!$K$2:$K$169,0))</f>
        <v>46384</v>
      </c>
      <c r="D69" s="0" t="n">
        <f aca="false">INDEX(Helper!$I$2:$I$169,MATCH(A69-5,Helper!$K$2:$K$169,0))</f>
        <v>4676</v>
      </c>
      <c r="E69" s="0" t="s">
        <v>17</v>
      </c>
      <c r="F69" s="2" t="n">
        <f aca="false">C69+3</f>
        <v>46387</v>
      </c>
      <c r="G69" s="3" t="n">
        <f aca="false">ROUND((SUMIFS($D$2:$D$70,$B$2:$B$70,Capacity!$A$3,$F$2:$F$70,"&lt;="&amp;F69)-SUMIFS('Demand Projection'!$D$2:$D$169,'Demand Projection'!$B$2:$B$169,Capacity!$A$3,'Demand Projection'!$C$2:$C$169,"&lt;="&amp;F69))/Capacity!$B$3+(SUMIFS($D$2:$D$70,$B$2:$B$70,Capacity!$A$4,$F$2:$F$70,"&lt;="&amp;F69)-SUMIFS('Demand Projection'!$D$2:$D$169,'Demand Projection'!$B$2:$B$169,Capacity!$A$4,'Demand Projection'!$C$2:$C$169,"&lt;="&amp;F69))/Capacity!$B$4+(SUMIFS($D$2:$D$70,$B$2:$B$70,Capacity!$A$5,$F$2:$F$70,"&lt;="&amp;F69)-SUMIFS('Demand Projection'!$D$2:$D$169,'Demand Projection'!$B$2:$B$169,Capacity!$A$5,'Demand Projection'!$C$2:$C$169,"&lt;="&amp;F69))/Capacity!$B$5+(SUMIFS($D$2:$D$70,$B$2:$B$70,Capacity!$A$6,$F$2:$F$70,"&lt;="&amp;F69)-SUMIFS('Demand Projection'!$D$2:$D$169,'Demand Projection'!$B$2:$B$169,Capacity!$A$6,'Demand Projection'!$C$2:$C$169,"&lt;="&amp;F69))/Capacity!$B$6+(SUMIFS($D$2:$D$70,$B$2:$B$70,Capacity!$A$7,$F$2:$F$70,"&lt;="&amp;F69)-SUMIFS('Demand Projection'!$D$2:$D$169,'Demand Projection'!$B$2:$B$169,Capacity!$A$7,'Demand Projection'!$C$2:$C$169,"&lt;="&amp;F69))/Capacity!$B$7,2)</f>
        <v>1.11</v>
      </c>
    </row>
    <row r="70" customFormat="false" ht="15" hidden="false" customHeight="false" outlineLevel="0" collapsed="false">
      <c r="A70" s="0" t="n">
        <v>69</v>
      </c>
      <c r="B70" s="0" t="str">
        <f aca="false">INDEX(Helper!$B$2:$B$169,MATCH(A70-5,Helper!$K$2:$K$169,0))</f>
        <v>SKU PROD E</v>
      </c>
      <c r="C70" s="2" t="n">
        <f aca="false">INDEX(Helper!$C$2:$C$169,MATCH(A70-5,Helper!$K$2:$K$169,0))</f>
        <v>46384</v>
      </c>
      <c r="D70" s="0" t="n">
        <f aca="false">INDEX(Helper!$I$2:$I$169,MATCH(A70-5,Helper!$K$2:$K$169,0))</f>
        <v>2671</v>
      </c>
      <c r="E70" s="0" t="s">
        <v>17</v>
      </c>
      <c r="F70" s="2" t="n">
        <f aca="false">C70+3</f>
        <v>46387</v>
      </c>
      <c r="G70" s="3" t="n">
        <f aca="false">ROUND((SUMIFS($D$2:$D$70,$B$2:$B$70,Capacity!$A$3,$F$2:$F$70,"&lt;="&amp;F70)-SUMIFS('Demand Projection'!$D$2:$D$169,'Demand Projection'!$B$2:$B$169,Capacity!$A$3,'Demand Projection'!$C$2:$C$169,"&lt;="&amp;F70))/Capacity!$B$3+(SUMIFS($D$2:$D$70,$B$2:$B$70,Capacity!$A$4,$F$2:$F$70,"&lt;="&amp;F70)-SUMIFS('Demand Projection'!$D$2:$D$169,'Demand Projection'!$B$2:$B$169,Capacity!$A$4,'Demand Projection'!$C$2:$C$169,"&lt;="&amp;F70))/Capacity!$B$4+(SUMIFS($D$2:$D$70,$B$2:$B$70,Capacity!$A$5,$F$2:$F$70,"&lt;="&amp;F70)-SUMIFS('Demand Projection'!$D$2:$D$169,'Demand Projection'!$B$2:$B$169,Capacity!$A$5,'Demand Projection'!$C$2:$C$169,"&lt;="&amp;F70))/Capacity!$B$5+(SUMIFS($D$2:$D$70,$B$2:$B$70,Capacity!$A$6,$F$2:$F$70,"&lt;="&amp;F70)-SUMIFS('Demand Projection'!$D$2:$D$169,'Demand Projection'!$B$2:$B$169,Capacity!$A$6,'Demand Projection'!$C$2:$C$169,"&lt;="&amp;F70))/Capacity!$B$6+(SUMIFS($D$2:$D$70,$B$2:$B$70,Capacity!$A$7,$F$2:$F$70,"&lt;="&amp;F70)-SUMIFS('Demand Projection'!$D$2:$D$169,'Demand Projection'!$B$2:$B$169,Capacity!$A$7,'Demand Projection'!$C$2:$C$169,"&lt;="&amp;F70))/Capacity!$B$7,2)</f>
        <v>1.11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0" t="s">
        <v>18</v>
      </c>
      <c r="D1" s="0" t="s">
        <v>19</v>
      </c>
    </row>
    <row r="2" customFormat="false" ht="15" hidden="false" customHeight="false" outlineLevel="0" collapsed="false">
      <c r="A2" s="4" t="s">
        <v>20</v>
      </c>
      <c r="B2" s="4" t="s">
        <v>21</v>
      </c>
      <c r="D2" s="4" t="s">
        <v>20</v>
      </c>
      <c r="E2" s="4" t="s">
        <v>22</v>
      </c>
      <c r="F2" s="4" t="s">
        <v>23</v>
      </c>
    </row>
    <row r="3" customFormat="false" ht="15" hidden="false" customHeight="false" outlineLevel="0" collapsed="false">
      <c r="A3" s="0" t="s">
        <v>4</v>
      </c>
      <c r="B3" s="0" t="n">
        <v>10000</v>
      </c>
      <c r="D3" s="0" t="s">
        <v>4</v>
      </c>
      <c r="E3" s="0" t="n">
        <f aca="false">minifs(Helper!$E$2:$E$169,Helper!$B$2:$B$169,D3)</f>
        <v>678</v>
      </c>
      <c r="F3" s="0" t="n">
        <f aca="false">maxifs(Helper!$E$2:$E$169,Helper!$B$2:$B$169,D3)</f>
        <v>2632</v>
      </c>
    </row>
    <row r="4" customFormat="false" ht="15" hidden="false" customHeight="false" outlineLevel="0" collapsed="false">
      <c r="A4" s="0" t="s">
        <v>5</v>
      </c>
      <c r="B4" s="0" t="n">
        <v>25000</v>
      </c>
      <c r="D4" s="0" t="s">
        <v>5</v>
      </c>
      <c r="E4" s="0" t="n">
        <f aca="false">minifs(Helper!$E$2:$E$169,Helper!$B$2:$B$169,D4)</f>
        <v>376</v>
      </c>
      <c r="F4" s="0" t="n">
        <f aca="false">maxifs(Helper!$E$2:$E$169,Helper!$B$2:$B$169,D4)</f>
        <v>6570</v>
      </c>
    </row>
    <row r="5" customFormat="false" ht="15" hidden="false" customHeight="false" outlineLevel="0" collapsed="false">
      <c r="A5" s="0" t="s">
        <v>6</v>
      </c>
      <c r="B5" s="0" t="n">
        <v>15000</v>
      </c>
      <c r="D5" s="0" t="s">
        <v>6</v>
      </c>
      <c r="E5" s="0" t="n">
        <f aca="false">minifs(Helper!$E$2:$E$169,Helper!$B$2:$B$169,D5)</f>
        <v>358</v>
      </c>
      <c r="F5" s="0" t="n">
        <f aca="false">maxifs(Helper!$E$2:$E$169,Helper!$B$2:$B$169,D5)</f>
        <v>1537</v>
      </c>
    </row>
    <row r="6" customFormat="false" ht="15" hidden="false" customHeight="false" outlineLevel="0" collapsed="false">
      <c r="A6" s="0" t="s">
        <v>7</v>
      </c>
      <c r="B6" s="0" t="n">
        <v>8000</v>
      </c>
      <c r="D6" s="0" t="s">
        <v>7</v>
      </c>
      <c r="E6" s="0" t="n">
        <f aca="false">minifs(Helper!$E$2:$E$169,Helper!$B$2:$B$169,D6)</f>
        <v>430</v>
      </c>
      <c r="F6" s="0" t="n">
        <f aca="false">maxifs(Helper!$E$2:$E$169,Helper!$B$2:$B$169,D6)</f>
        <v>3532</v>
      </c>
    </row>
    <row r="7" customFormat="false" ht="15" hidden="false" customHeight="false" outlineLevel="0" collapsed="false">
      <c r="A7" s="0" t="s">
        <v>8</v>
      </c>
      <c r="B7" s="0" t="n">
        <v>19500</v>
      </c>
      <c r="D7" s="0" t="s">
        <v>8</v>
      </c>
      <c r="E7" s="0" t="n">
        <f aca="false">minifs(Helper!$E$2:$E$169,Helper!$B$2:$B$169,D7)</f>
        <v>250</v>
      </c>
      <c r="F7" s="0" t="n">
        <f aca="false">maxifs(Helper!$E$2:$E$169,Helper!$B$2:$B$169,D7)</f>
        <v>2357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11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</row>
    <row r="2" customFormat="false" ht="15" hidden="false" customHeight="false" outlineLevel="0" collapsed="false">
      <c r="A2" s="0" t="n">
        <f aca="false">'Demand Projection'!A2</f>
        <v>1</v>
      </c>
      <c r="B2" s="0" t="str">
        <f aca="false">'Demand Projection'!B2</f>
        <v>SKU PROD A</v>
      </c>
      <c r="C2" s="2" t="n">
        <f aca="false">'Demand Projection'!C2</f>
        <v>46025</v>
      </c>
      <c r="D2" s="0" t="n">
        <f aca="false">'Demand Projection'!D2</f>
        <v>1000</v>
      </c>
      <c r="E2" s="0" t="n">
        <f aca="false">SUMIFS('Demand Projection'!$D$2:$D$169,'Demand Projection'!$B$2:$B$169,B2,'Demand Projection'!$C$2:$C$169,"&gt;="&amp;C2,'Demand Projection'!$C$2:$C$169,"&lt;="&amp;C2+5)</f>
        <v>2400</v>
      </c>
      <c r="F2" s="0" t="n">
        <v>0</v>
      </c>
      <c r="G2" s="0" t="n">
        <f aca="false">SUMIFS($D$2:D2,$B$2:B2,B2)</f>
        <v>1000</v>
      </c>
      <c r="H2" s="0" t="n">
        <f aca="false">VLOOKUP(B2,Warehouse!$B$2:$D$6,3,FALSE())+F2-G2</f>
        <v>1200</v>
      </c>
      <c r="I2" s="0" t="n">
        <f aca="false">IF(H2&lt;VLOOKUP(B2,Capacity!$D$3:$F$7,2,FALSE()),VLOOKUP(B2,Capacity!$D$3:$F$7,3,FALSE())-H2,0)</f>
        <v>0</v>
      </c>
      <c r="J2" s="2" t="str">
        <f aca="false">IF(I2&gt;0,C2+3,"")</f>
        <v/>
      </c>
      <c r="K2" s="0" t="n">
        <f aca="false">IF(I2&gt;0,1,0)</f>
        <v>0</v>
      </c>
    </row>
    <row r="3" customFormat="false" ht="15" hidden="false" customHeight="false" outlineLevel="0" collapsed="false">
      <c r="A3" s="0" t="n">
        <f aca="false">'Demand Projection'!A3</f>
        <v>2</v>
      </c>
      <c r="B3" s="0" t="str">
        <f aca="false">'Demand Projection'!B3</f>
        <v>SKU PROD B</v>
      </c>
      <c r="C3" s="2" t="n">
        <f aca="false">'Demand Projection'!C3</f>
        <v>46025</v>
      </c>
      <c r="D3" s="0" t="n">
        <f aca="false">'Demand Projection'!D3</f>
        <v>6000</v>
      </c>
      <c r="E3" s="0" t="n">
        <f aca="false">SUMIFS('Demand Projection'!$D$2:$D$169,'Demand Projection'!$B$2:$B$169,B3,'Demand Projection'!$C$2:$C$169,"&gt;="&amp;C3,'Demand Projection'!$C$2:$C$169,"&lt;="&amp;C3+5)</f>
        <v>6000</v>
      </c>
      <c r="F3" s="0" t="n">
        <f aca="false">SUMIFS($I$2:I2,$B$2:B2,B3,$J$2:J2,"&lt;="&amp;C3)</f>
        <v>0</v>
      </c>
      <c r="G3" s="0" t="n">
        <f aca="false">SUMIFS($D$2:D3,$B$2:B3,B3)</f>
        <v>6000</v>
      </c>
      <c r="H3" s="0" t="n">
        <f aca="false">VLOOKUP(B3,Warehouse!$B$2:$D$6,3,FALSE())+F3-G3</f>
        <v>2000</v>
      </c>
      <c r="I3" s="0" t="n">
        <f aca="false">IF(H3&lt;VLOOKUP(B3,Capacity!$D$3:$F$7,2,FALSE()),VLOOKUP(B3,Capacity!$D$3:$F$7,3,FALSE())-H3,0)</f>
        <v>0</v>
      </c>
      <c r="J3" s="2" t="str">
        <f aca="false">IF(I3&gt;0,C3+3,"")</f>
        <v/>
      </c>
      <c r="K3" s="0" t="str">
        <f aca="false">IF(I3&gt;0,MAX($K$2:K2)+1,"")</f>
        <v/>
      </c>
    </row>
    <row r="4" customFormat="false" ht="15" hidden="false" customHeight="false" outlineLevel="0" collapsed="false">
      <c r="A4" s="0" t="n">
        <f aca="false">'Demand Projection'!A4</f>
        <v>3</v>
      </c>
      <c r="B4" s="0" t="str">
        <f aca="false">'Demand Projection'!B4</f>
        <v>SKU PROD A</v>
      </c>
      <c r="C4" s="2" t="n">
        <f aca="false">'Demand Projection'!C4</f>
        <v>46026</v>
      </c>
      <c r="D4" s="0" t="n">
        <f aca="false">'Demand Projection'!D4</f>
        <v>400</v>
      </c>
      <c r="E4" s="0" t="n">
        <f aca="false">SUMIFS('Demand Projection'!$D$2:$D$169,'Demand Projection'!$B$2:$B$169,B4,'Demand Projection'!$C$2:$C$169,"&gt;="&amp;C4,'Demand Projection'!$C$2:$C$169,"&lt;="&amp;C4+5)</f>
        <v>1400</v>
      </c>
      <c r="F4" s="0" t="n">
        <f aca="false">SUMIFS($I$2:I3,$B$2:B3,B4,$J$2:J3,"&lt;="&amp;C4)</f>
        <v>0</v>
      </c>
      <c r="G4" s="0" t="n">
        <f aca="false">SUMIFS($D$2:D4,$B$2:B4,B4)</f>
        <v>1400</v>
      </c>
      <c r="H4" s="0" t="n">
        <f aca="false">VLOOKUP(B4,Warehouse!$B$2:$D$6,3,FALSE())+F4-G4</f>
        <v>800</v>
      </c>
      <c r="I4" s="0" t="n">
        <f aca="false">IF(H4&lt;VLOOKUP(B4,Capacity!$D$3:$F$7,2,FALSE()),VLOOKUP(B4,Capacity!$D$3:$F$7,3,FALSE())-H4,0)</f>
        <v>0</v>
      </c>
      <c r="J4" s="2" t="str">
        <f aca="false">IF(I4&gt;0,C4+3,"")</f>
        <v/>
      </c>
      <c r="K4" s="0" t="str">
        <f aca="false">IF(I4&gt;0,MAX($K$2:K3)+1,"")</f>
        <v/>
      </c>
    </row>
    <row r="5" customFormat="false" ht="15" hidden="false" customHeight="false" outlineLevel="0" collapsed="false">
      <c r="A5" s="0" t="n">
        <f aca="false">'Demand Projection'!A5</f>
        <v>4</v>
      </c>
      <c r="B5" s="0" t="str">
        <f aca="false">'Demand Projection'!B5</f>
        <v>SKU PROD C</v>
      </c>
      <c r="C5" s="2" t="n">
        <f aca="false">'Demand Projection'!C5</f>
        <v>46027</v>
      </c>
      <c r="D5" s="0" t="n">
        <f aca="false">'Demand Projection'!D5</f>
        <v>900</v>
      </c>
      <c r="E5" s="0" t="n">
        <f aca="false">SUMIFS('Demand Projection'!$D$2:$D$169,'Demand Projection'!$B$2:$B$169,B5,'Demand Projection'!$C$2:$C$169,"&gt;="&amp;C5,'Demand Projection'!$C$2:$C$169,"&lt;="&amp;C5+5)</f>
        <v>1400</v>
      </c>
      <c r="F5" s="0" t="n">
        <f aca="false">SUMIFS($I$2:I4,$B$2:B4,B5,$J$2:J4,"&lt;="&amp;C5)</f>
        <v>0</v>
      </c>
      <c r="G5" s="0" t="n">
        <f aca="false">SUMIFS($D$2:D5,$B$2:B5,B5)</f>
        <v>900</v>
      </c>
      <c r="H5" s="0" t="n">
        <f aca="false">VLOOKUP(B5,Warehouse!$B$2:$D$6,3,FALSE())+F5-G5</f>
        <v>800</v>
      </c>
      <c r="I5" s="0" t="n">
        <f aca="false">IF(H5&lt;VLOOKUP(B5,Capacity!$D$3:$F$7,2,FALSE()),VLOOKUP(B5,Capacity!$D$3:$F$7,3,FALSE())-H5,0)</f>
        <v>0</v>
      </c>
      <c r="J5" s="2" t="str">
        <f aca="false">IF(I5&gt;0,C5+3,"")</f>
        <v/>
      </c>
      <c r="K5" s="0" t="str">
        <f aca="false">IF(I5&gt;0,MAX($K$2:K4)+1,"")</f>
        <v/>
      </c>
    </row>
    <row r="6" customFormat="false" ht="15" hidden="false" customHeight="false" outlineLevel="0" collapsed="false">
      <c r="A6" s="0" t="n">
        <f aca="false">'Demand Projection'!A6</f>
        <v>5</v>
      </c>
      <c r="B6" s="0" t="str">
        <f aca="false">'Demand Projection'!B6</f>
        <v>SKU PROD D</v>
      </c>
      <c r="C6" s="2" t="n">
        <f aca="false">'Demand Projection'!C6</f>
        <v>46028</v>
      </c>
      <c r="D6" s="0" t="n">
        <f aca="false">'Demand Projection'!D6</f>
        <v>600</v>
      </c>
      <c r="E6" s="0" t="n">
        <f aca="false">SUMIFS('Demand Projection'!$D$2:$D$169,'Demand Projection'!$B$2:$B$169,B6,'Demand Projection'!$C$2:$C$169,"&gt;="&amp;C6,'Demand Projection'!$C$2:$C$169,"&lt;="&amp;C6+5)</f>
        <v>600</v>
      </c>
      <c r="F6" s="0" t="n">
        <f aca="false">SUMIFS($I$2:I5,$B$2:B5,B6,$J$2:J5,"&lt;="&amp;C6)</f>
        <v>0</v>
      </c>
      <c r="G6" s="0" t="n">
        <f aca="false">SUMIFS($D$2:D6,$B$2:B6,B6)</f>
        <v>600</v>
      </c>
      <c r="H6" s="0" t="n">
        <f aca="false">VLOOKUP(B6,Warehouse!$B$2:$D$6,3,FALSE())+F6-G6</f>
        <v>2900</v>
      </c>
      <c r="I6" s="0" t="n">
        <f aca="false">IF(H6&lt;VLOOKUP(B6,Capacity!$D$3:$F$7,2,FALSE()),VLOOKUP(B6,Capacity!$D$3:$F$7,3,FALSE())-H6,0)</f>
        <v>0</v>
      </c>
      <c r="J6" s="2" t="str">
        <f aca="false">IF(I6&gt;0,C6+3,"")</f>
        <v/>
      </c>
      <c r="K6" s="0" t="str">
        <f aca="false">IF(I6&gt;0,MAX($K$2:K5)+1,"")</f>
        <v/>
      </c>
    </row>
    <row r="7" customFormat="false" ht="15" hidden="false" customHeight="false" outlineLevel="0" collapsed="false">
      <c r="A7" s="0" t="n">
        <f aca="false">'Demand Projection'!A7</f>
        <v>6</v>
      </c>
      <c r="B7" s="0" t="str">
        <f aca="false">'Demand Projection'!B7</f>
        <v>SKU PROD A</v>
      </c>
      <c r="C7" s="2" t="n">
        <f aca="false">'Demand Projection'!C7</f>
        <v>46029</v>
      </c>
      <c r="D7" s="0" t="n">
        <f aca="false">'Demand Projection'!D7</f>
        <v>1000</v>
      </c>
      <c r="E7" s="0" t="n">
        <f aca="false">SUMIFS('Demand Projection'!$D$2:$D$169,'Demand Projection'!$B$2:$B$169,B7,'Demand Projection'!$C$2:$C$169,"&gt;="&amp;C7,'Demand Projection'!$C$2:$C$169,"&lt;="&amp;C7+5)</f>
        <v>1000</v>
      </c>
      <c r="F7" s="0" t="n">
        <f aca="false">SUMIFS($I$2:I6,$B$2:B6,B7,$J$2:J6,"&lt;="&amp;C7)</f>
        <v>0</v>
      </c>
      <c r="G7" s="0" t="n">
        <f aca="false">SUMIFS($D$2:D7,$B$2:B7,B7)</f>
        <v>2400</v>
      </c>
      <c r="H7" s="0" t="n">
        <f aca="false">VLOOKUP(B7,Warehouse!$B$2:$D$6,3,FALSE())+F7-G7</f>
        <v>-200</v>
      </c>
      <c r="I7" s="0" t="n">
        <f aca="false">IF(H7&lt;VLOOKUP(B7,Capacity!$D$3:$F$7,2,FALSE()),VLOOKUP(B7,Capacity!$D$3:$F$7,3,FALSE())-H7,0)</f>
        <v>2832</v>
      </c>
      <c r="J7" s="2" t="n">
        <f aca="false">IF(I7&gt;0,C7+3,"")</f>
        <v>46032</v>
      </c>
      <c r="K7" s="0" t="n">
        <f aca="false">IF(I7&gt;0,MAX($K$2:K6)+1,"")</f>
        <v>1</v>
      </c>
    </row>
    <row r="8" customFormat="false" ht="15" hidden="false" customHeight="false" outlineLevel="0" collapsed="false">
      <c r="A8" s="0" t="n">
        <f aca="false">'Demand Projection'!A8</f>
        <v>7</v>
      </c>
      <c r="B8" s="0" t="str">
        <f aca="false">'Demand Projection'!B8</f>
        <v>SKU PROD C</v>
      </c>
      <c r="C8" s="2" t="n">
        <f aca="false">'Demand Projection'!C8</f>
        <v>46031</v>
      </c>
      <c r="D8" s="0" t="n">
        <f aca="false">'Demand Projection'!D8</f>
        <v>500</v>
      </c>
      <c r="E8" s="0" t="n">
        <f aca="false">SUMIFS('Demand Projection'!$D$2:$D$169,'Demand Projection'!$B$2:$B$169,B8,'Demand Projection'!$C$2:$C$169,"&gt;="&amp;C8,'Demand Projection'!$C$2:$C$169,"&lt;="&amp;C8+5)</f>
        <v>500</v>
      </c>
      <c r="F8" s="0" t="n">
        <f aca="false">SUMIFS($I$2:I7,$B$2:B7,B8,$J$2:J7,"&lt;="&amp;C8)</f>
        <v>0</v>
      </c>
      <c r="G8" s="0" t="n">
        <f aca="false">SUMIFS($D$2:D8,$B$2:B8,B8)</f>
        <v>1400</v>
      </c>
      <c r="H8" s="0" t="n">
        <f aca="false">VLOOKUP(B8,Warehouse!$B$2:$D$6,3,FALSE())+F8-G8</f>
        <v>300</v>
      </c>
      <c r="I8" s="0" t="n">
        <f aca="false">IF(H8&lt;VLOOKUP(B8,Capacity!$D$3:$F$7,2,FALSE()),VLOOKUP(B8,Capacity!$D$3:$F$7,3,FALSE())-H8,0)</f>
        <v>1237</v>
      </c>
      <c r="J8" s="2" t="n">
        <f aca="false">IF(I8&gt;0,C8+3,"")</f>
        <v>46034</v>
      </c>
      <c r="K8" s="0" t="n">
        <f aca="false">IF(I8&gt;0,MAX($K$2:K7)+1,"")</f>
        <v>2</v>
      </c>
    </row>
    <row r="9" customFormat="false" ht="15" hidden="false" customHeight="false" outlineLevel="0" collapsed="false">
      <c r="A9" s="0" t="n">
        <f aca="false">'Demand Projection'!A9</f>
        <v>8</v>
      </c>
      <c r="B9" s="0" t="str">
        <f aca="false">'Demand Projection'!B9</f>
        <v>SKU PROD E</v>
      </c>
      <c r="C9" s="2" t="n">
        <f aca="false">'Demand Projection'!C9</f>
        <v>46034</v>
      </c>
      <c r="D9" s="0" t="n">
        <f aca="false">'Demand Projection'!D9</f>
        <v>400</v>
      </c>
      <c r="E9" s="0" t="n">
        <f aca="false">SUMIFS('Demand Projection'!$D$2:$D$169,'Demand Projection'!$B$2:$B$169,B9,'Demand Projection'!$C$2:$C$169,"&gt;="&amp;C9,'Demand Projection'!$C$2:$C$169,"&lt;="&amp;C9+5)</f>
        <v>400</v>
      </c>
      <c r="F9" s="0" t="n">
        <f aca="false">SUMIFS($I$2:I8,$B$2:B8,B9,$J$2:J8,"&lt;="&amp;C9)</f>
        <v>0</v>
      </c>
      <c r="G9" s="0" t="n">
        <f aca="false">SUMIFS($D$2:D9,$B$2:B9,B9)</f>
        <v>400</v>
      </c>
      <c r="H9" s="0" t="n">
        <f aca="false">VLOOKUP(B9,Warehouse!$B$2:$D$6,3,FALSE())+F9-G9</f>
        <v>1900</v>
      </c>
      <c r="I9" s="0" t="n">
        <f aca="false">IF(H9&lt;VLOOKUP(B9,Capacity!$D$3:$F$7,2,FALSE()),VLOOKUP(B9,Capacity!$D$3:$F$7,3,FALSE())-H9,0)</f>
        <v>0</v>
      </c>
      <c r="J9" s="2" t="str">
        <f aca="false">IF(I9&gt;0,C9+3,"")</f>
        <v/>
      </c>
      <c r="K9" s="0" t="str">
        <f aca="false">IF(I9&gt;0,MAX($K$2:K8)+1,"")</f>
        <v/>
      </c>
    </row>
    <row r="10" customFormat="false" ht="15" hidden="false" customHeight="false" outlineLevel="0" collapsed="false">
      <c r="A10" s="0" t="n">
        <f aca="false">'Demand Projection'!A10</f>
        <v>9</v>
      </c>
      <c r="B10" s="0" t="str">
        <f aca="false">'Demand Projection'!B10</f>
        <v>SKU PROD B</v>
      </c>
      <c r="C10" s="2" t="n">
        <f aca="false">'Demand Projection'!C10</f>
        <v>46035</v>
      </c>
      <c r="D10" s="0" t="n">
        <f aca="false">'Demand Projection'!D10</f>
        <v>600</v>
      </c>
      <c r="E10" s="0" t="n">
        <f aca="false">SUMIFS('Demand Projection'!$D$2:$D$169,'Demand Projection'!$B$2:$B$169,B10,'Demand Projection'!$C$2:$C$169,"&gt;="&amp;C10,'Demand Projection'!$C$2:$C$169,"&lt;="&amp;C10+5)</f>
        <v>600</v>
      </c>
      <c r="F10" s="0" t="n">
        <f aca="false">SUMIFS($I$2:I9,$B$2:B9,B10,$J$2:J9,"&lt;="&amp;C10)</f>
        <v>0</v>
      </c>
      <c r="G10" s="0" t="n">
        <f aca="false">SUMIFS($D$2:D10,$B$2:B10,B10)</f>
        <v>6600</v>
      </c>
      <c r="H10" s="0" t="n">
        <f aca="false">VLOOKUP(B10,Warehouse!$B$2:$D$6,3,FALSE())+F10-G10</f>
        <v>1400</v>
      </c>
      <c r="I10" s="0" t="n">
        <f aca="false">IF(H10&lt;VLOOKUP(B10,Capacity!$D$3:$F$7,2,FALSE()),VLOOKUP(B10,Capacity!$D$3:$F$7,3,FALSE())-H10,0)</f>
        <v>0</v>
      </c>
      <c r="J10" s="2" t="str">
        <f aca="false">IF(I10&gt;0,C10+3,"")</f>
        <v/>
      </c>
      <c r="K10" s="0" t="str">
        <f aca="false">IF(I10&gt;0,MAX($K$2:K9)+1,"")</f>
        <v/>
      </c>
    </row>
    <row r="11" customFormat="false" ht="15" hidden="false" customHeight="false" outlineLevel="0" collapsed="false">
      <c r="A11" s="0" t="n">
        <f aca="false">'Demand Projection'!A11</f>
        <v>10</v>
      </c>
      <c r="B11" s="0" t="str">
        <f aca="false">'Demand Projection'!B11</f>
        <v>SKU PROD D</v>
      </c>
      <c r="C11" s="2" t="n">
        <f aca="false">'Demand Projection'!C11</f>
        <v>46039</v>
      </c>
      <c r="D11" s="0" t="n">
        <f aca="false">'Demand Projection'!D11</f>
        <v>900</v>
      </c>
      <c r="E11" s="0" t="n">
        <f aca="false">SUMIFS('Demand Projection'!$D$2:$D$169,'Demand Projection'!$B$2:$B$169,B11,'Demand Projection'!$C$2:$C$169,"&gt;="&amp;C11,'Demand Projection'!$C$2:$C$169,"&lt;="&amp;C11+5)</f>
        <v>900</v>
      </c>
      <c r="F11" s="0" t="n">
        <f aca="false">SUMIFS($I$2:I10,$B$2:B10,B11,$J$2:J10,"&lt;="&amp;C11)</f>
        <v>0</v>
      </c>
      <c r="G11" s="0" t="n">
        <f aca="false">SUMIFS($D$2:D11,$B$2:B11,B11)</f>
        <v>1500</v>
      </c>
      <c r="H11" s="0" t="n">
        <f aca="false">VLOOKUP(B11,Warehouse!$B$2:$D$6,3,FALSE())+F11-G11</f>
        <v>2000</v>
      </c>
      <c r="I11" s="0" t="n">
        <f aca="false">IF(H11&lt;VLOOKUP(B11,Capacity!$D$3:$F$7,2,FALSE()),VLOOKUP(B11,Capacity!$D$3:$F$7,3,FALSE())-H11,0)</f>
        <v>0</v>
      </c>
      <c r="J11" s="2" t="str">
        <f aca="false">IF(I11&gt;0,C11+3,"")</f>
        <v/>
      </c>
      <c r="K11" s="0" t="str">
        <f aca="false">IF(I11&gt;0,MAX($K$2:K10)+1,"")</f>
        <v/>
      </c>
    </row>
    <row r="12" customFormat="false" ht="15" hidden="false" customHeight="false" outlineLevel="0" collapsed="false">
      <c r="A12" s="0" t="n">
        <f aca="false">'Demand Projection'!A12</f>
        <v>11</v>
      </c>
      <c r="B12" s="0" t="str">
        <f aca="false">'Demand Projection'!B12</f>
        <v>SKU PROD C</v>
      </c>
      <c r="C12" s="2" t="n">
        <f aca="false">'Demand Projection'!C12</f>
        <v>46042</v>
      </c>
      <c r="D12" s="0" t="n">
        <f aca="false">'Demand Projection'!D12</f>
        <v>800</v>
      </c>
      <c r="E12" s="0" t="n">
        <f aca="false">SUMIFS('Demand Projection'!$D$2:$D$169,'Demand Projection'!$B$2:$B$169,B12,'Demand Projection'!$C$2:$C$169,"&gt;="&amp;C12,'Demand Projection'!$C$2:$C$169,"&lt;="&amp;C12+5)</f>
        <v>800</v>
      </c>
      <c r="F12" s="0" t="n">
        <f aca="false">SUMIFS($I$2:I11,$B$2:B11,B12,$J$2:J11,"&lt;="&amp;C12)</f>
        <v>1237</v>
      </c>
      <c r="G12" s="0" t="n">
        <f aca="false">SUMIFS($D$2:D12,$B$2:B12,B12)</f>
        <v>2200</v>
      </c>
      <c r="H12" s="0" t="n">
        <f aca="false">VLOOKUP(B12,Warehouse!$B$2:$D$6,3,FALSE())+F12-G12</f>
        <v>737</v>
      </c>
      <c r="I12" s="0" t="n">
        <f aca="false">IF(H12&lt;VLOOKUP(B12,Capacity!$D$3:$F$7,2,FALSE()),VLOOKUP(B12,Capacity!$D$3:$F$7,3,FALSE())-H12,0)</f>
        <v>0</v>
      </c>
      <c r="J12" s="2" t="str">
        <f aca="false">IF(I12&gt;0,C12+3,"")</f>
        <v/>
      </c>
      <c r="K12" s="0" t="str">
        <f aca="false">IF(I12&gt;0,MAX($K$2:K11)+1,"")</f>
        <v/>
      </c>
    </row>
    <row r="13" customFormat="false" ht="15" hidden="false" customHeight="false" outlineLevel="0" collapsed="false">
      <c r="A13" s="0" t="n">
        <f aca="false">'Demand Projection'!A13</f>
        <v>12</v>
      </c>
      <c r="B13" s="0" t="str">
        <f aca="false">'Demand Projection'!B13</f>
        <v>SKU PROD A</v>
      </c>
      <c r="C13" s="2" t="n">
        <f aca="false">'Demand Projection'!C13</f>
        <v>46046</v>
      </c>
      <c r="D13" s="0" t="n">
        <f aca="false">'Demand Projection'!D13</f>
        <v>1000</v>
      </c>
      <c r="E13" s="0" t="n">
        <f aca="false">SUMIFS('Demand Projection'!$D$2:$D$169,'Demand Projection'!$B$2:$B$169,B13,'Demand Projection'!$C$2:$C$169,"&gt;="&amp;C13,'Demand Projection'!$C$2:$C$169,"&lt;="&amp;C13+5)</f>
        <v>1000</v>
      </c>
      <c r="F13" s="0" t="n">
        <f aca="false">SUMIFS($I$2:I12,$B$2:B12,B13,$J$2:J12,"&lt;="&amp;C13)</f>
        <v>2832</v>
      </c>
      <c r="G13" s="0" t="n">
        <f aca="false">SUMIFS($D$2:D13,$B$2:B13,B13)</f>
        <v>3400</v>
      </c>
      <c r="H13" s="0" t="n">
        <f aca="false">VLOOKUP(B13,Warehouse!$B$2:$D$6,3,FALSE())+F13-G13</f>
        <v>1632</v>
      </c>
      <c r="I13" s="0" t="n">
        <f aca="false">IF(H13&lt;VLOOKUP(B13,Capacity!$D$3:$F$7,2,FALSE()),VLOOKUP(B13,Capacity!$D$3:$F$7,3,FALSE())-H13,0)</f>
        <v>0</v>
      </c>
      <c r="J13" s="2" t="str">
        <f aca="false">IF(I13&gt;0,C13+3,"")</f>
        <v/>
      </c>
      <c r="K13" s="0" t="str">
        <f aca="false">IF(I13&gt;0,MAX($K$2:K12)+1,"")</f>
        <v/>
      </c>
    </row>
    <row r="14" customFormat="false" ht="15" hidden="false" customHeight="false" outlineLevel="0" collapsed="false">
      <c r="A14" s="0" t="n">
        <f aca="false">'Demand Projection'!A14</f>
        <v>13</v>
      </c>
      <c r="B14" s="0" t="str">
        <f aca="false">'Demand Projection'!B14</f>
        <v>SKU PROD D</v>
      </c>
      <c r="C14" s="2" t="n">
        <f aca="false">'Demand Projection'!C14</f>
        <v>46050</v>
      </c>
      <c r="D14" s="0" t="n">
        <f aca="false">'Demand Projection'!D14</f>
        <v>3000</v>
      </c>
      <c r="E14" s="0" t="n">
        <f aca="false">SUMIFS('Demand Projection'!$D$2:$D$169,'Demand Projection'!$B$2:$B$169,B14,'Demand Projection'!$C$2:$C$169,"&gt;="&amp;C14,'Demand Projection'!$C$2:$C$169,"&lt;="&amp;C14+5)</f>
        <v>3000</v>
      </c>
      <c r="F14" s="0" t="n">
        <f aca="false">SUMIFS($I$2:I13,$B$2:B13,B14,$J$2:J13,"&lt;="&amp;C14)</f>
        <v>0</v>
      </c>
      <c r="G14" s="0" t="n">
        <f aca="false">SUMIFS($D$2:D14,$B$2:B14,B14)</f>
        <v>4500</v>
      </c>
      <c r="H14" s="0" t="n">
        <f aca="false">VLOOKUP(B14,Warehouse!$B$2:$D$6,3,FALSE())+F14-G14</f>
        <v>-1000</v>
      </c>
      <c r="I14" s="0" t="n">
        <f aca="false">IF(H14&lt;VLOOKUP(B14,Capacity!$D$3:$F$7,2,FALSE()),VLOOKUP(B14,Capacity!$D$3:$F$7,3,FALSE())-H14,0)</f>
        <v>4532</v>
      </c>
      <c r="J14" s="2" t="n">
        <f aca="false">IF(I14&gt;0,C14+3,"")</f>
        <v>46053</v>
      </c>
      <c r="K14" s="0" t="n">
        <f aca="false">IF(I14&gt;0,MAX($K$2:K13)+1,"")</f>
        <v>3</v>
      </c>
    </row>
    <row r="15" customFormat="false" ht="15" hidden="false" customHeight="false" outlineLevel="0" collapsed="false">
      <c r="A15" s="0" t="n">
        <f aca="false">'Demand Projection'!A15</f>
        <v>14</v>
      </c>
      <c r="B15" s="0" t="str">
        <f aca="false">'Demand Projection'!B15</f>
        <v>SKU PROD E</v>
      </c>
      <c r="C15" s="2" t="n">
        <f aca="false">'Demand Projection'!C15</f>
        <v>46050</v>
      </c>
      <c r="D15" s="0" t="n">
        <f aca="false">'Demand Projection'!D15</f>
        <v>2000</v>
      </c>
      <c r="E15" s="0" t="n">
        <f aca="false">SUMIFS('Demand Projection'!$D$2:$D$169,'Demand Projection'!$B$2:$B$169,B15,'Demand Projection'!$C$2:$C$169,"&gt;="&amp;C15,'Demand Projection'!$C$2:$C$169,"&lt;="&amp;C15+5)</f>
        <v>2000</v>
      </c>
      <c r="F15" s="0" t="n">
        <f aca="false">SUMIFS($I$2:I14,$B$2:B14,B15,$J$2:J14,"&lt;="&amp;C15)</f>
        <v>0</v>
      </c>
      <c r="G15" s="0" t="n">
        <f aca="false">SUMIFS($D$2:D15,$B$2:B15,B15)</f>
        <v>2400</v>
      </c>
      <c r="H15" s="0" t="n">
        <f aca="false">VLOOKUP(B15,Warehouse!$B$2:$D$6,3,FALSE())+F15-G15</f>
        <v>-100</v>
      </c>
      <c r="I15" s="0" t="n">
        <f aca="false">IF(H15&lt;VLOOKUP(B15,Capacity!$D$3:$F$7,2,FALSE()),VLOOKUP(B15,Capacity!$D$3:$F$7,3,FALSE())-H15,0)</f>
        <v>2457</v>
      </c>
      <c r="J15" s="2" t="n">
        <f aca="false">IF(I15&gt;0,C15+3,"")</f>
        <v>46053</v>
      </c>
      <c r="K15" s="0" t="n">
        <f aca="false">IF(I15&gt;0,MAX($K$2:K14)+1,"")</f>
        <v>4</v>
      </c>
    </row>
    <row r="16" customFormat="false" ht="15" hidden="false" customHeight="false" outlineLevel="0" collapsed="false">
      <c r="A16" s="0" t="n">
        <f aca="false">'Demand Projection'!A16</f>
        <v>15</v>
      </c>
      <c r="B16" s="0" t="str">
        <f aca="false">'Demand Projection'!B16</f>
        <v>SKU PROD A</v>
      </c>
      <c r="C16" s="2" t="n">
        <f aca="false">'Demand Projection'!C16</f>
        <v>46056</v>
      </c>
      <c r="D16" s="0" t="n">
        <f aca="false">'Demand Projection'!D16</f>
        <v>1050</v>
      </c>
      <c r="E16" s="0" t="n">
        <f aca="false">SUMIFS('Demand Projection'!$D$2:$D$169,'Demand Projection'!$B$2:$B$169,B16,'Demand Projection'!$C$2:$C$169,"&gt;="&amp;C16,'Demand Projection'!$C$2:$C$169,"&lt;="&amp;C16+5)</f>
        <v>2520</v>
      </c>
      <c r="F16" s="0" t="n">
        <f aca="false">SUMIFS($I$2:I15,$B$2:B15,B16,$J$2:J15,"&lt;="&amp;C16)</f>
        <v>2832</v>
      </c>
      <c r="G16" s="0" t="n">
        <f aca="false">SUMIFS($D$2:D16,$B$2:B16,B16)</f>
        <v>4450</v>
      </c>
      <c r="H16" s="0" t="n">
        <f aca="false">VLOOKUP(B16,Warehouse!$B$2:$D$6,3,FALSE())+F16-G16</f>
        <v>582</v>
      </c>
      <c r="I16" s="0" t="n">
        <f aca="false">IF(H16&lt;VLOOKUP(B16,Capacity!$D$3:$F$7,2,FALSE()),VLOOKUP(B16,Capacity!$D$3:$F$7,3,FALSE())-H16,0)</f>
        <v>2050</v>
      </c>
      <c r="J16" s="2" t="n">
        <f aca="false">IF(I16&gt;0,C16+3,"")</f>
        <v>46059</v>
      </c>
      <c r="K16" s="0" t="n">
        <f aca="false">IF(I16&gt;0,MAX($K$2:K15)+1,"")</f>
        <v>5</v>
      </c>
    </row>
    <row r="17" customFormat="false" ht="15" hidden="false" customHeight="false" outlineLevel="0" collapsed="false">
      <c r="A17" s="0" t="n">
        <f aca="false">'Demand Projection'!A17</f>
        <v>16</v>
      </c>
      <c r="B17" s="0" t="str">
        <f aca="false">'Demand Projection'!B17</f>
        <v>SKU PROD B</v>
      </c>
      <c r="C17" s="2" t="n">
        <f aca="false">'Demand Projection'!C17</f>
        <v>46056</v>
      </c>
      <c r="D17" s="0" t="n">
        <f aca="false">'Demand Projection'!D17</f>
        <v>6300</v>
      </c>
      <c r="E17" s="0" t="n">
        <f aca="false">SUMIFS('Demand Projection'!$D$2:$D$169,'Demand Projection'!$B$2:$B$169,B17,'Demand Projection'!$C$2:$C$169,"&gt;="&amp;C17,'Demand Projection'!$C$2:$C$169,"&lt;="&amp;C17+5)</f>
        <v>6300</v>
      </c>
      <c r="F17" s="0" t="n">
        <f aca="false">SUMIFS($I$2:I16,$B$2:B16,B17,$J$2:J16,"&lt;="&amp;C17)</f>
        <v>0</v>
      </c>
      <c r="G17" s="0" t="n">
        <f aca="false">SUMIFS($D$2:D17,$B$2:B17,B17)</f>
        <v>12900</v>
      </c>
      <c r="H17" s="0" t="n">
        <f aca="false">VLOOKUP(B17,Warehouse!$B$2:$D$6,3,FALSE())+F17-G17</f>
        <v>-4900</v>
      </c>
      <c r="I17" s="0" t="n">
        <f aca="false">IF(H17&lt;VLOOKUP(B17,Capacity!$D$3:$F$7,2,FALSE()),VLOOKUP(B17,Capacity!$D$3:$F$7,3,FALSE())-H17,0)</f>
        <v>11470</v>
      </c>
      <c r="J17" s="2" t="n">
        <f aca="false">IF(I17&gt;0,C17+3,"")</f>
        <v>46059</v>
      </c>
      <c r="K17" s="0" t="n">
        <f aca="false">IF(I17&gt;0,MAX($K$2:K16)+1,"")</f>
        <v>6</v>
      </c>
    </row>
    <row r="18" customFormat="false" ht="15" hidden="false" customHeight="false" outlineLevel="0" collapsed="false">
      <c r="A18" s="0" t="n">
        <f aca="false">'Demand Projection'!A18</f>
        <v>17</v>
      </c>
      <c r="B18" s="0" t="str">
        <f aca="false">'Demand Projection'!B18</f>
        <v>SKU PROD A</v>
      </c>
      <c r="C18" s="2" t="n">
        <f aca="false">'Demand Projection'!C18</f>
        <v>46057</v>
      </c>
      <c r="D18" s="0" t="n">
        <f aca="false">'Demand Projection'!D18</f>
        <v>420</v>
      </c>
      <c r="E18" s="0" t="n">
        <f aca="false">SUMIFS('Demand Projection'!$D$2:$D$169,'Demand Projection'!$B$2:$B$169,B18,'Demand Projection'!$C$2:$C$169,"&gt;="&amp;C18,'Demand Projection'!$C$2:$C$169,"&lt;="&amp;C18+5)</f>
        <v>1470</v>
      </c>
      <c r="F18" s="0" t="n">
        <f aca="false">SUMIFS($I$2:I17,$B$2:B17,B18,$J$2:J17,"&lt;="&amp;C18)</f>
        <v>2832</v>
      </c>
      <c r="G18" s="0" t="n">
        <f aca="false">SUMIFS($D$2:D18,$B$2:B18,B18)</f>
        <v>4870</v>
      </c>
      <c r="H18" s="0" t="n">
        <f aca="false">VLOOKUP(B18,Warehouse!$B$2:$D$6,3,FALSE())+F18-G18</f>
        <v>162</v>
      </c>
      <c r="I18" s="0" t="n">
        <f aca="false">IF(H18&lt;VLOOKUP(B18,Capacity!$D$3:$F$7,2,FALSE()),VLOOKUP(B18,Capacity!$D$3:$F$7,3,FALSE())-H18,0)</f>
        <v>2470</v>
      </c>
      <c r="J18" s="2" t="n">
        <f aca="false">IF(I18&gt;0,C18+3,"")</f>
        <v>46060</v>
      </c>
      <c r="K18" s="0" t="n">
        <f aca="false">IF(I18&gt;0,MAX($K$2:K17)+1,"")</f>
        <v>7</v>
      </c>
    </row>
    <row r="19" customFormat="false" ht="15" hidden="false" customHeight="false" outlineLevel="0" collapsed="false">
      <c r="A19" s="0" t="n">
        <f aca="false">'Demand Projection'!A19</f>
        <v>18</v>
      </c>
      <c r="B19" s="0" t="str">
        <f aca="false">'Demand Projection'!B19</f>
        <v>SKU PROD C</v>
      </c>
      <c r="C19" s="2" t="n">
        <f aca="false">'Demand Projection'!C19</f>
        <v>46058</v>
      </c>
      <c r="D19" s="0" t="n">
        <f aca="false">'Demand Projection'!D19</f>
        <v>945</v>
      </c>
      <c r="E19" s="0" t="n">
        <f aca="false">SUMIFS('Demand Projection'!$D$2:$D$169,'Demand Projection'!$B$2:$B$169,B19,'Demand Projection'!$C$2:$C$169,"&gt;="&amp;C19,'Demand Projection'!$C$2:$C$169,"&lt;="&amp;C19+5)</f>
        <v>1470</v>
      </c>
      <c r="F19" s="0" t="n">
        <f aca="false">SUMIFS($I$2:I18,$B$2:B18,B19,$J$2:J18,"&lt;="&amp;C19)</f>
        <v>1237</v>
      </c>
      <c r="G19" s="0" t="n">
        <f aca="false">SUMIFS($D$2:D19,$B$2:B19,B19)</f>
        <v>3145</v>
      </c>
      <c r="H19" s="0" t="n">
        <f aca="false">VLOOKUP(B19,Warehouse!$B$2:$D$6,3,FALSE())+F19-G19</f>
        <v>-208</v>
      </c>
      <c r="I19" s="0" t="n">
        <f aca="false">IF(H19&lt;VLOOKUP(B19,Capacity!$D$3:$F$7,2,FALSE()),VLOOKUP(B19,Capacity!$D$3:$F$7,3,FALSE())-H19,0)</f>
        <v>1745</v>
      </c>
      <c r="J19" s="2" t="n">
        <f aca="false">IF(I19&gt;0,C19+3,"")</f>
        <v>46061</v>
      </c>
      <c r="K19" s="0" t="n">
        <f aca="false">IF(I19&gt;0,MAX($K$2:K18)+1,"")</f>
        <v>8</v>
      </c>
    </row>
    <row r="20" customFormat="false" ht="15" hidden="false" customHeight="false" outlineLevel="0" collapsed="false">
      <c r="A20" s="0" t="n">
        <f aca="false">'Demand Projection'!A20</f>
        <v>19</v>
      </c>
      <c r="B20" s="0" t="str">
        <f aca="false">'Demand Projection'!B20</f>
        <v>SKU PROD D</v>
      </c>
      <c r="C20" s="2" t="n">
        <f aca="false">'Demand Projection'!C20</f>
        <v>46059</v>
      </c>
      <c r="D20" s="0" t="n">
        <f aca="false">'Demand Projection'!D20</f>
        <v>630</v>
      </c>
      <c r="E20" s="0" t="n">
        <f aca="false">SUMIFS('Demand Projection'!$D$2:$D$169,'Demand Projection'!$B$2:$B$169,B20,'Demand Projection'!$C$2:$C$169,"&gt;="&amp;C20,'Demand Projection'!$C$2:$C$169,"&lt;="&amp;C20+5)</f>
        <v>630</v>
      </c>
      <c r="F20" s="0" t="n">
        <f aca="false">SUMIFS($I$2:I19,$B$2:B19,B20,$J$2:J19,"&lt;="&amp;C20)</f>
        <v>4532</v>
      </c>
      <c r="G20" s="0" t="n">
        <f aca="false">SUMIFS($D$2:D20,$B$2:B20,B20)</f>
        <v>5130</v>
      </c>
      <c r="H20" s="0" t="n">
        <f aca="false">VLOOKUP(B20,Warehouse!$B$2:$D$6,3,FALSE())+F20-G20</f>
        <v>2902</v>
      </c>
      <c r="I20" s="0" t="n">
        <f aca="false">IF(H20&lt;VLOOKUP(B20,Capacity!$D$3:$F$7,2,FALSE()),VLOOKUP(B20,Capacity!$D$3:$F$7,3,FALSE())-H20,0)</f>
        <v>0</v>
      </c>
      <c r="J20" s="2" t="str">
        <f aca="false">IF(I20&gt;0,C20+3,"")</f>
        <v/>
      </c>
      <c r="K20" s="0" t="str">
        <f aca="false">IF(I20&gt;0,MAX($K$2:K19)+1,"")</f>
        <v/>
      </c>
    </row>
    <row r="21" customFormat="false" ht="15" hidden="false" customHeight="false" outlineLevel="0" collapsed="false">
      <c r="A21" s="0" t="n">
        <f aca="false">'Demand Projection'!A21</f>
        <v>20</v>
      </c>
      <c r="B21" s="0" t="str">
        <f aca="false">'Demand Projection'!B21</f>
        <v>SKU PROD A</v>
      </c>
      <c r="C21" s="2" t="n">
        <f aca="false">'Demand Projection'!C21</f>
        <v>46060</v>
      </c>
      <c r="D21" s="0" t="n">
        <f aca="false">'Demand Projection'!D21</f>
        <v>1050</v>
      </c>
      <c r="E21" s="0" t="n">
        <f aca="false">SUMIFS('Demand Projection'!$D$2:$D$169,'Demand Projection'!$B$2:$B$169,B21,'Demand Projection'!$C$2:$C$169,"&gt;="&amp;C21,'Demand Projection'!$C$2:$C$169,"&lt;="&amp;C21+5)</f>
        <v>1050</v>
      </c>
      <c r="F21" s="0" t="n">
        <f aca="false">SUMIFS($I$2:I20,$B$2:B20,B21,$J$2:J20,"&lt;="&amp;C21)</f>
        <v>7352</v>
      </c>
      <c r="G21" s="0" t="n">
        <f aca="false">SUMIFS($D$2:D21,$B$2:B21,B21)</f>
        <v>5920</v>
      </c>
      <c r="H21" s="0" t="n">
        <f aca="false">VLOOKUP(B21,Warehouse!$B$2:$D$6,3,FALSE())+F21-G21</f>
        <v>3632</v>
      </c>
      <c r="I21" s="0" t="n">
        <f aca="false">IF(H21&lt;VLOOKUP(B21,Capacity!$D$3:$F$7,2,FALSE()),VLOOKUP(B21,Capacity!$D$3:$F$7,3,FALSE())-H21,0)</f>
        <v>0</v>
      </c>
      <c r="J21" s="2" t="str">
        <f aca="false">IF(I21&gt;0,C21+3,"")</f>
        <v/>
      </c>
      <c r="K21" s="0" t="str">
        <f aca="false">IF(I21&gt;0,MAX($K$2:K20)+1,"")</f>
        <v/>
      </c>
    </row>
    <row r="22" customFormat="false" ht="15" hidden="false" customHeight="false" outlineLevel="0" collapsed="false">
      <c r="A22" s="0" t="n">
        <f aca="false">'Demand Projection'!A22</f>
        <v>21</v>
      </c>
      <c r="B22" s="0" t="str">
        <f aca="false">'Demand Projection'!B22</f>
        <v>SKU PROD C</v>
      </c>
      <c r="C22" s="2" t="n">
        <f aca="false">'Demand Projection'!C22</f>
        <v>46062</v>
      </c>
      <c r="D22" s="0" t="n">
        <f aca="false">'Demand Projection'!D22</f>
        <v>525</v>
      </c>
      <c r="E22" s="0" t="n">
        <f aca="false">SUMIFS('Demand Projection'!$D$2:$D$169,'Demand Projection'!$B$2:$B$169,B22,'Demand Projection'!$C$2:$C$169,"&gt;="&amp;C22,'Demand Projection'!$C$2:$C$169,"&lt;="&amp;C22+5)</f>
        <v>525</v>
      </c>
      <c r="F22" s="0" t="n">
        <f aca="false">SUMIFS($I$2:I21,$B$2:B21,B22,$J$2:J21,"&lt;="&amp;C22)</f>
        <v>2982</v>
      </c>
      <c r="G22" s="0" t="n">
        <f aca="false">SUMIFS($D$2:D22,$B$2:B22,B22)</f>
        <v>3670</v>
      </c>
      <c r="H22" s="0" t="n">
        <f aca="false">VLOOKUP(B22,Warehouse!$B$2:$D$6,3,FALSE())+F22-G22</f>
        <v>1012</v>
      </c>
      <c r="I22" s="0" t="n">
        <f aca="false">IF(H22&lt;VLOOKUP(B22,Capacity!$D$3:$F$7,2,FALSE()),VLOOKUP(B22,Capacity!$D$3:$F$7,3,FALSE())-H22,0)</f>
        <v>0</v>
      </c>
      <c r="J22" s="2" t="str">
        <f aca="false">IF(I22&gt;0,C22+3,"")</f>
        <v/>
      </c>
      <c r="K22" s="0" t="str">
        <f aca="false">IF(I22&gt;0,MAX($K$2:K21)+1,"")</f>
        <v/>
      </c>
    </row>
    <row r="23" customFormat="false" ht="15" hidden="false" customHeight="false" outlineLevel="0" collapsed="false">
      <c r="A23" s="0" t="n">
        <f aca="false">'Demand Projection'!A23</f>
        <v>22</v>
      </c>
      <c r="B23" s="0" t="str">
        <f aca="false">'Demand Projection'!B23</f>
        <v>SKU PROD E</v>
      </c>
      <c r="C23" s="2" t="n">
        <f aca="false">'Demand Projection'!C23</f>
        <v>46065</v>
      </c>
      <c r="D23" s="0" t="n">
        <f aca="false">'Demand Projection'!D23</f>
        <v>420</v>
      </c>
      <c r="E23" s="0" t="n">
        <f aca="false">SUMIFS('Demand Projection'!$D$2:$D$169,'Demand Projection'!$B$2:$B$169,B23,'Demand Projection'!$C$2:$C$169,"&gt;="&amp;C23,'Demand Projection'!$C$2:$C$169,"&lt;="&amp;C23+5)</f>
        <v>420</v>
      </c>
      <c r="F23" s="0" t="n">
        <f aca="false">SUMIFS($I$2:I22,$B$2:B22,B23,$J$2:J22,"&lt;="&amp;C23)</f>
        <v>2457</v>
      </c>
      <c r="G23" s="0" t="n">
        <f aca="false">SUMIFS($D$2:D23,$B$2:B23,B23)</f>
        <v>2820</v>
      </c>
      <c r="H23" s="0" t="n">
        <f aca="false">VLOOKUP(B23,Warehouse!$B$2:$D$6,3,FALSE())+F23-G23</f>
        <v>1937</v>
      </c>
      <c r="I23" s="0" t="n">
        <f aca="false">IF(H23&lt;VLOOKUP(B23,Capacity!$D$3:$F$7,2,FALSE()),VLOOKUP(B23,Capacity!$D$3:$F$7,3,FALSE())-H23,0)</f>
        <v>0</v>
      </c>
      <c r="J23" s="2" t="str">
        <f aca="false">IF(I23&gt;0,C23+3,"")</f>
        <v/>
      </c>
      <c r="K23" s="0" t="str">
        <f aca="false">IF(I23&gt;0,MAX($K$2:K22)+1,"")</f>
        <v/>
      </c>
    </row>
    <row r="24" customFormat="false" ht="15" hidden="false" customHeight="false" outlineLevel="0" collapsed="false">
      <c r="A24" s="0" t="n">
        <f aca="false">'Demand Projection'!A24</f>
        <v>23</v>
      </c>
      <c r="B24" s="0" t="str">
        <f aca="false">'Demand Projection'!B24</f>
        <v>SKU PROD B</v>
      </c>
      <c r="C24" s="2" t="n">
        <f aca="false">'Demand Projection'!C24</f>
        <v>46066</v>
      </c>
      <c r="D24" s="0" t="n">
        <f aca="false">'Demand Projection'!D24</f>
        <v>630</v>
      </c>
      <c r="E24" s="0" t="n">
        <f aca="false">SUMIFS('Demand Projection'!$D$2:$D$169,'Demand Projection'!$B$2:$B$169,B24,'Demand Projection'!$C$2:$C$169,"&gt;="&amp;C24,'Demand Projection'!$C$2:$C$169,"&lt;="&amp;C24+5)</f>
        <v>630</v>
      </c>
      <c r="F24" s="0" t="n">
        <f aca="false">SUMIFS($I$2:I23,$B$2:B23,B24,$J$2:J23,"&lt;="&amp;C24)</f>
        <v>11470</v>
      </c>
      <c r="G24" s="0" t="n">
        <f aca="false">SUMIFS($D$2:D24,$B$2:B24,B24)</f>
        <v>13530</v>
      </c>
      <c r="H24" s="0" t="n">
        <f aca="false">VLOOKUP(B24,Warehouse!$B$2:$D$6,3,FALSE())+F24-G24</f>
        <v>5940</v>
      </c>
      <c r="I24" s="0" t="n">
        <f aca="false">IF(H24&lt;VLOOKUP(B24,Capacity!$D$3:$F$7,2,FALSE()),VLOOKUP(B24,Capacity!$D$3:$F$7,3,FALSE())-H24,0)</f>
        <v>0</v>
      </c>
      <c r="J24" s="2" t="str">
        <f aca="false">IF(I24&gt;0,C24+3,"")</f>
        <v/>
      </c>
      <c r="K24" s="0" t="str">
        <f aca="false">IF(I24&gt;0,MAX($K$2:K23)+1,"")</f>
        <v/>
      </c>
    </row>
    <row r="25" customFormat="false" ht="15" hidden="false" customHeight="false" outlineLevel="0" collapsed="false">
      <c r="A25" s="0" t="n">
        <f aca="false">'Demand Projection'!A25</f>
        <v>24</v>
      </c>
      <c r="B25" s="0" t="str">
        <f aca="false">'Demand Projection'!B25</f>
        <v>SKU PROD D</v>
      </c>
      <c r="C25" s="2" t="n">
        <f aca="false">'Demand Projection'!C25</f>
        <v>46070</v>
      </c>
      <c r="D25" s="0" t="n">
        <f aca="false">'Demand Projection'!D25</f>
        <v>968</v>
      </c>
      <c r="E25" s="0" t="n">
        <f aca="false">SUMIFS('Demand Projection'!$D$2:$D$169,'Demand Projection'!$B$2:$B$169,B25,'Demand Projection'!$C$2:$C$169,"&gt;="&amp;C25,'Demand Projection'!$C$2:$C$169,"&lt;="&amp;C25+5)</f>
        <v>968</v>
      </c>
      <c r="F25" s="0" t="n">
        <f aca="false">SUMIFS($I$2:I24,$B$2:B24,B25,$J$2:J24,"&lt;="&amp;C25)</f>
        <v>4532</v>
      </c>
      <c r="G25" s="0" t="n">
        <f aca="false">SUMIFS($D$2:D25,$B$2:B25,B25)</f>
        <v>6098</v>
      </c>
      <c r="H25" s="0" t="n">
        <f aca="false">VLOOKUP(B25,Warehouse!$B$2:$D$6,3,FALSE())+F25-G25</f>
        <v>1934</v>
      </c>
      <c r="I25" s="0" t="n">
        <f aca="false">IF(H25&lt;VLOOKUP(B25,Capacity!$D$3:$F$7,2,FALSE()),VLOOKUP(B25,Capacity!$D$3:$F$7,3,FALSE())-H25,0)</f>
        <v>0</v>
      </c>
      <c r="J25" s="2" t="str">
        <f aca="false">IF(I25&gt;0,C25+3,"")</f>
        <v/>
      </c>
      <c r="K25" s="0" t="str">
        <f aca="false">IF(I25&gt;0,MAX($K$2:K24)+1,"")</f>
        <v/>
      </c>
    </row>
    <row r="26" customFormat="false" ht="15" hidden="false" customHeight="false" outlineLevel="0" collapsed="false">
      <c r="A26" s="0" t="n">
        <f aca="false">'Demand Projection'!A26</f>
        <v>25</v>
      </c>
      <c r="B26" s="0" t="str">
        <f aca="false">'Demand Projection'!B26</f>
        <v>SKU PROD C</v>
      </c>
      <c r="C26" s="2" t="n">
        <f aca="false">'Demand Projection'!C26</f>
        <v>46073</v>
      </c>
      <c r="D26" s="0" t="n">
        <f aca="false">'Demand Projection'!D26</f>
        <v>860</v>
      </c>
      <c r="E26" s="0" t="n">
        <f aca="false">SUMIFS('Demand Projection'!$D$2:$D$169,'Demand Projection'!$B$2:$B$169,B26,'Demand Projection'!$C$2:$C$169,"&gt;="&amp;C26,'Demand Projection'!$C$2:$C$169,"&lt;="&amp;C26+5)</f>
        <v>860</v>
      </c>
      <c r="F26" s="0" t="n">
        <f aca="false">SUMIFS($I$2:I25,$B$2:B25,B26,$J$2:J25,"&lt;="&amp;C26)</f>
        <v>2982</v>
      </c>
      <c r="G26" s="0" t="n">
        <f aca="false">SUMIFS($D$2:D26,$B$2:B26,B26)</f>
        <v>4530</v>
      </c>
      <c r="H26" s="0" t="n">
        <f aca="false">VLOOKUP(B26,Warehouse!$B$2:$D$6,3,FALSE())+F26-G26</f>
        <v>152</v>
      </c>
      <c r="I26" s="0" t="n">
        <f aca="false">IF(H26&lt;VLOOKUP(B26,Capacity!$D$3:$F$7,2,FALSE()),VLOOKUP(B26,Capacity!$D$3:$F$7,3,FALSE())-H26,0)</f>
        <v>1385</v>
      </c>
      <c r="J26" s="2" t="n">
        <f aca="false">IF(I26&gt;0,C26+3,"")</f>
        <v>46076</v>
      </c>
      <c r="K26" s="0" t="n">
        <f aca="false">IF(I26&gt;0,MAX($K$2:K25)+1,"")</f>
        <v>9</v>
      </c>
    </row>
    <row r="27" customFormat="false" ht="15" hidden="false" customHeight="false" outlineLevel="0" collapsed="false">
      <c r="A27" s="0" t="n">
        <f aca="false">'Demand Projection'!A27</f>
        <v>26</v>
      </c>
      <c r="B27" s="0" t="str">
        <f aca="false">'Demand Projection'!B27</f>
        <v>SKU PROD A</v>
      </c>
      <c r="C27" s="2" t="n">
        <f aca="false">'Demand Projection'!C27</f>
        <v>46077</v>
      </c>
      <c r="D27" s="0" t="n">
        <f aca="false">'Demand Projection'!D27</f>
        <v>1075</v>
      </c>
      <c r="E27" s="0" t="n">
        <f aca="false">SUMIFS('Demand Projection'!$D$2:$D$169,'Demand Projection'!$B$2:$B$169,B27,'Demand Projection'!$C$2:$C$169,"&gt;="&amp;C27,'Demand Projection'!$C$2:$C$169,"&lt;="&amp;C27+5)</f>
        <v>1075</v>
      </c>
      <c r="F27" s="0" t="n">
        <f aca="false">SUMIFS($I$2:I26,$B$2:B26,B27,$J$2:J26,"&lt;="&amp;C27)</f>
        <v>7352</v>
      </c>
      <c r="G27" s="0" t="n">
        <f aca="false">SUMIFS($D$2:D27,$B$2:B27,B27)</f>
        <v>6995</v>
      </c>
      <c r="H27" s="0" t="n">
        <f aca="false">VLOOKUP(B27,Warehouse!$B$2:$D$6,3,FALSE())+F27-G27</f>
        <v>2557</v>
      </c>
      <c r="I27" s="0" t="n">
        <f aca="false">IF(H27&lt;VLOOKUP(B27,Capacity!$D$3:$F$7,2,FALSE()),VLOOKUP(B27,Capacity!$D$3:$F$7,3,FALSE())-H27,0)</f>
        <v>0</v>
      </c>
      <c r="J27" s="2" t="str">
        <f aca="false">IF(I27&gt;0,C27+3,"")</f>
        <v/>
      </c>
      <c r="K27" s="0" t="str">
        <f aca="false">IF(I27&gt;0,MAX($K$2:K26)+1,"")</f>
        <v/>
      </c>
    </row>
    <row r="28" customFormat="false" ht="15" hidden="false" customHeight="false" outlineLevel="0" collapsed="false">
      <c r="A28" s="0" t="n">
        <f aca="false">'Demand Projection'!A28</f>
        <v>27</v>
      </c>
      <c r="B28" s="0" t="str">
        <f aca="false">'Demand Projection'!B28</f>
        <v>SKU PROD D</v>
      </c>
      <c r="C28" s="2" t="n">
        <f aca="false">'Demand Projection'!C28</f>
        <v>46081</v>
      </c>
      <c r="D28" s="0" t="n">
        <f aca="false">'Demand Projection'!D28</f>
        <v>3225</v>
      </c>
      <c r="E28" s="0" t="n">
        <f aca="false">SUMIFS('Demand Projection'!$D$2:$D$169,'Demand Projection'!$B$2:$B$169,B28,'Demand Projection'!$C$2:$C$169,"&gt;="&amp;C28,'Demand Projection'!$C$2:$C$169,"&lt;="&amp;C28+5)</f>
        <v>3225</v>
      </c>
      <c r="F28" s="0" t="n">
        <f aca="false">SUMIFS($I$2:I27,$B$2:B27,B28,$J$2:J27,"&lt;="&amp;C28)</f>
        <v>4532</v>
      </c>
      <c r="G28" s="0" t="n">
        <f aca="false">SUMIFS($D$2:D28,$B$2:B28,B28)</f>
        <v>9323</v>
      </c>
      <c r="H28" s="0" t="n">
        <f aca="false">VLOOKUP(B28,Warehouse!$B$2:$D$6,3,FALSE())+F28-G28</f>
        <v>-1291</v>
      </c>
      <c r="I28" s="0" t="n">
        <f aca="false">IF(H28&lt;VLOOKUP(B28,Capacity!$D$3:$F$7,2,FALSE()),VLOOKUP(B28,Capacity!$D$3:$F$7,3,FALSE())-H28,0)</f>
        <v>4823</v>
      </c>
      <c r="J28" s="2" t="n">
        <f aca="false">IF(I28&gt;0,C28+3,"")</f>
        <v>46084</v>
      </c>
      <c r="K28" s="0" t="n">
        <f aca="false">IF(I28&gt;0,MAX($K$2:K27)+1,"")</f>
        <v>10</v>
      </c>
    </row>
    <row r="29" customFormat="false" ht="15" hidden="false" customHeight="false" outlineLevel="0" collapsed="false">
      <c r="A29" s="0" t="n">
        <f aca="false">'Demand Projection'!A29</f>
        <v>28</v>
      </c>
      <c r="B29" s="0" t="str">
        <f aca="false">'Demand Projection'!B29</f>
        <v>SKU PROD E</v>
      </c>
      <c r="C29" s="2" t="n">
        <f aca="false">'Demand Projection'!C29</f>
        <v>46081</v>
      </c>
      <c r="D29" s="0" t="n">
        <f aca="false">'Demand Projection'!D29</f>
        <v>2150</v>
      </c>
      <c r="E29" s="0" t="n">
        <f aca="false">SUMIFS('Demand Projection'!$D$2:$D$169,'Demand Projection'!$B$2:$B$169,B29,'Demand Projection'!$C$2:$C$169,"&gt;="&amp;C29,'Demand Projection'!$C$2:$C$169,"&lt;="&amp;C29+5)</f>
        <v>2150</v>
      </c>
      <c r="F29" s="0" t="n">
        <f aca="false">SUMIFS($I$2:I28,$B$2:B28,B29,$J$2:J28,"&lt;="&amp;C29)</f>
        <v>2457</v>
      </c>
      <c r="G29" s="0" t="n">
        <f aca="false">SUMIFS($D$2:D29,$B$2:B29,B29)</f>
        <v>4970</v>
      </c>
      <c r="H29" s="0" t="n">
        <f aca="false">VLOOKUP(B29,Warehouse!$B$2:$D$6,3,FALSE())+F29-G29</f>
        <v>-213</v>
      </c>
      <c r="I29" s="0" t="n">
        <f aca="false">IF(H29&lt;VLOOKUP(B29,Capacity!$D$3:$F$7,2,FALSE()),VLOOKUP(B29,Capacity!$D$3:$F$7,3,FALSE())-H29,0)</f>
        <v>2570</v>
      </c>
      <c r="J29" s="2" t="n">
        <f aca="false">IF(I29&gt;0,C29+3,"")</f>
        <v>46084</v>
      </c>
      <c r="K29" s="0" t="n">
        <f aca="false">IF(I29&gt;0,MAX($K$2:K28)+1,"")</f>
        <v>11</v>
      </c>
    </row>
    <row r="30" customFormat="false" ht="15" hidden="false" customHeight="false" outlineLevel="0" collapsed="false">
      <c r="A30" s="0" t="n">
        <f aca="false">'Demand Projection'!A30</f>
        <v>29</v>
      </c>
      <c r="B30" s="0" t="str">
        <f aca="false">'Demand Projection'!B30</f>
        <v>SKU PROD A</v>
      </c>
      <c r="C30" s="2" t="n">
        <f aca="false">'Demand Projection'!C30</f>
        <v>46084</v>
      </c>
      <c r="D30" s="0" t="n">
        <f aca="false">'Demand Projection'!D30</f>
        <v>1029</v>
      </c>
      <c r="E30" s="0" t="n">
        <f aca="false">SUMIFS('Demand Projection'!$D$2:$D$169,'Demand Projection'!$B$2:$B$169,B30,'Demand Projection'!$C$2:$C$169,"&gt;="&amp;C30,'Demand Projection'!$C$2:$C$169,"&lt;="&amp;C30+5)</f>
        <v>2470</v>
      </c>
      <c r="F30" s="0" t="n">
        <f aca="false">SUMIFS($I$2:I29,$B$2:B29,B30,$J$2:J29,"&lt;="&amp;C30)</f>
        <v>7352</v>
      </c>
      <c r="G30" s="0" t="n">
        <f aca="false">SUMIFS($D$2:D30,$B$2:B30,B30)</f>
        <v>8024</v>
      </c>
      <c r="H30" s="0" t="n">
        <f aca="false">VLOOKUP(B30,Warehouse!$B$2:$D$6,3,FALSE())+F30-G30</f>
        <v>1528</v>
      </c>
      <c r="I30" s="0" t="n">
        <f aca="false">IF(H30&lt;VLOOKUP(B30,Capacity!$D$3:$F$7,2,FALSE()),VLOOKUP(B30,Capacity!$D$3:$F$7,3,FALSE())-H30,0)</f>
        <v>0</v>
      </c>
      <c r="J30" s="2" t="str">
        <f aca="false">IF(I30&gt;0,C30+3,"")</f>
        <v/>
      </c>
      <c r="K30" s="0" t="str">
        <f aca="false">IF(I30&gt;0,MAX($K$2:K29)+1,"")</f>
        <v/>
      </c>
    </row>
    <row r="31" customFormat="false" ht="15" hidden="false" customHeight="false" outlineLevel="0" collapsed="false">
      <c r="A31" s="0" t="n">
        <f aca="false">'Demand Projection'!A31</f>
        <v>30</v>
      </c>
      <c r="B31" s="0" t="str">
        <f aca="false">'Demand Projection'!B31</f>
        <v>SKU PROD B</v>
      </c>
      <c r="C31" s="2" t="n">
        <f aca="false">'Demand Projection'!C31</f>
        <v>46084</v>
      </c>
      <c r="D31" s="0" t="n">
        <f aca="false">'Demand Projection'!D31</f>
        <v>6174</v>
      </c>
      <c r="E31" s="0" t="n">
        <f aca="false">SUMIFS('Demand Projection'!$D$2:$D$169,'Demand Projection'!$B$2:$B$169,B31,'Demand Projection'!$C$2:$C$169,"&gt;="&amp;C31,'Demand Projection'!$C$2:$C$169,"&lt;="&amp;C31+5)</f>
        <v>6174</v>
      </c>
      <c r="F31" s="0" t="n">
        <f aca="false">SUMIFS($I$2:I30,$B$2:B30,B31,$J$2:J30,"&lt;="&amp;C31)</f>
        <v>11470</v>
      </c>
      <c r="G31" s="0" t="n">
        <f aca="false">SUMIFS($D$2:D31,$B$2:B31,B31)</f>
        <v>19704</v>
      </c>
      <c r="H31" s="0" t="n">
        <f aca="false">VLOOKUP(B31,Warehouse!$B$2:$D$6,3,FALSE())+F31-G31</f>
        <v>-234</v>
      </c>
      <c r="I31" s="0" t="n">
        <f aca="false">IF(H31&lt;VLOOKUP(B31,Capacity!$D$3:$F$7,2,FALSE()),VLOOKUP(B31,Capacity!$D$3:$F$7,3,FALSE())-H31,0)</f>
        <v>6804</v>
      </c>
      <c r="J31" s="2" t="n">
        <f aca="false">IF(I31&gt;0,C31+3,"")</f>
        <v>46087</v>
      </c>
      <c r="K31" s="0" t="n">
        <f aca="false">IF(I31&gt;0,MAX($K$2:K30)+1,"")</f>
        <v>12</v>
      </c>
    </row>
    <row r="32" customFormat="false" ht="15" hidden="false" customHeight="false" outlineLevel="0" collapsed="false">
      <c r="A32" s="0" t="n">
        <f aca="false">'Demand Projection'!A32</f>
        <v>31</v>
      </c>
      <c r="B32" s="0" t="str">
        <f aca="false">'Demand Projection'!B32</f>
        <v>SKU PROD A</v>
      </c>
      <c r="C32" s="2" t="n">
        <f aca="false">'Demand Projection'!C32</f>
        <v>46085</v>
      </c>
      <c r="D32" s="0" t="n">
        <f aca="false">'Demand Projection'!D32</f>
        <v>412</v>
      </c>
      <c r="E32" s="0" t="n">
        <f aca="false">SUMIFS('Demand Projection'!$D$2:$D$169,'Demand Projection'!$B$2:$B$169,B32,'Demand Projection'!$C$2:$C$169,"&gt;="&amp;C32,'Demand Projection'!$C$2:$C$169,"&lt;="&amp;C32+5)</f>
        <v>1441</v>
      </c>
      <c r="F32" s="0" t="n">
        <f aca="false">SUMIFS($I$2:I31,$B$2:B31,B32,$J$2:J31,"&lt;="&amp;C32)</f>
        <v>7352</v>
      </c>
      <c r="G32" s="0" t="n">
        <f aca="false">SUMIFS($D$2:D32,$B$2:B32,B32)</f>
        <v>8436</v>
      </c>
      <c r="H32" s="0" t="n">
        <f aca="false">VLOOKUP(B32,Warehouse!$B$2:$D$6,3,FALSE())+F32-G32</f>
        <v>1116</v>
      </c>
      <c r="I32" s="0" t="n">
        <f aca="false">IF(H32&lt;VLOOKUP(B32,Capacity!$D$3:$F$7,2,FALSE()),VLOOKUP(B32,Capacity!$D$3:$F$7,3,FALSE())-H32,0)</f>
        <v>0</v>
      </c>
      <c r="J32" s="2" t="str">
        <f aca="false">IF(I32&gt;0,C32+3,"")</f>
        <v/>
      </c>
      <c r="K32" s="0" t="str">
        <f aca="false">IF(I32&gt;0,MAX($K$2:K31)+1,"")</f>
        <v/>
      </c>
    </row>
    <row r="33" customFormat="false" ht="15" hidden="false" customHeight="false" outlineLevel="0" collapsed="false">
      <c r="A33" s="0" t="n">
        <f aca="false">'Demand Projection'!A33</f>
        <v>32</v>
      </c>
      <c r="B33" s="0" t="str">
        <f aca="false">'Demand Projection'!B33</f>
        <v>SKU PROD C</v>
      </c>
      <c r="C33" s="2" t="n">
        <f aca="false">'Demand Projection'!C33</f>
        <v>46086</v>
      </c>
      <c r="D33" s="0" t="n">
        <f aca="false">'Demand Projection'!D33</f>
        <v>927</v>
      </c>
      <c r="E33" s="0" t="n">
        <f aca="false">SUMIFS('Demand Projection'!$D$2:$D$169,'Demand Projection'!$B$2:$B$169,B33,'Demand Projection'!$C$2:$C$169,"&gt;="&amp;C33,'Demand Projection'!$C$2:$C$169,"&lt;="&amp;C33+5)</f>
        <v>1442</v>
      </c>
      <c r="F33" s="0" t="n">
        <f aca="false">SUMIFS($I$2:I32,$B$2:B32,B33,$J$2:J32,"&lt;="&amp;C33)</f>
        <v>4367</v>
      </c>
      <c r="G33" s="0" t="n">
        <f aca="false">SUMIFS($D$2:D33,$B$2:B33,B33)</f>
        <v>5457</v>
      </c>
      <c r="H33" s="0" t="n">
        <f aca="false">VLOOKUP(B33,Warehouse!$B$2:$D$6,3,FALSE())+F33-G33</f>
        <v>610</v>
      </c>
      <c r="I33" s="0" t="n">
        <f aca="false">IF(H33&lt;VLOOKUP(B33,Capacity!$D$3:$F$7,2,FALSE()),VLOOKUP(B33,Capacity!$D$3:$F$7,3,FALSE())-H33,0)</f>
        <v>0</v>
      </c>
      <c r="J33" s="2" t="str">
        <f aca="false">IF(I33&gt;0,C33+3,"")</f>
        <v/>
      </c>
      <c r="K33" s="0" t="str">
        <f aca="false">IF(I33&gt;0,MAX($K$2:K32)+1,"")</f>
        <v/>
      </c>
    </row>
    <row r="34" customFormat="false" ht="15" hidden="false" customHeight="false" outlineLevel="0" collapsed="false">
      <c r="A34" s="0" t="n">
        <f aca="false">'Demand Projection'!A34</f>
        <v>33</v>
      </c>
      <c r="B34" s="0" t="str">
        <f aca="false">'Demand Projection'!B34</f>
        <v>SKU PROD D</v>
      </c>
      <c r="C34" s="2" t="n">
        <f aca="false">'Demand Projection'!C34</f>
        <v>46087</v>
      </c>
      <c r="D34" s="0" t="n">
        <f aca="false">'Demand Projection'!D34</f>
        <v>618</v>
      </c>
      <c r="E34" s="0" t="n">
        <f aca="false">SUMIFS('Demand Projection'!$D$2:$D$169,'Demand Projection'!$B$2:$B$169,B34,'Demand Projection'!$C$2:$C$169,"&gt;="&amp;C34,'Demand Projection'!$C$2:$C$169,"&lt;="&amp;C34+5)</f>
        <v>618</v>
      </c>
      <c r="F34" s="0" t="n">
        <f aca="false">SUMIFS($I$2:I33,$B$2:B33,B34,$J$2:J33,"&lt;="&amp;C34)</f>
        <v>9355</v>
      </c>
      <c r="G34" s="0" t="n">
        <f aca="false">SUMIFS($D$2:D34,$B$2:B34,B34)</f>
        <v>9941</v>
      </c>
      <c r="H34" s="0" t="n">
        <f aca="false">VLOOKUP(B34,Warehouse!$B$2:$D$6,3,FALSE())+F34-G34</f>
        <v>2914</v>
      </c>
      <c r="I34" s="0" t="n">
        <f aca="false">IF(H34&lt;VLOOKUP(B34,Capacity!$D$3:$F$7,2,FALSE()),VLOOKUP(B34,Capacity!$D$3:$F$7,3,FALSE())-H34,0)</f>
        <v>0</v>
      </c>
      <c r="J34" s="2" t="str">
        <f aca="false">IF(I34&gt;0,C34+3,"")</f>
        <v/>
      </c>
      <c r="K34" s="0" t="str">
        <f aca="false">IF(I34&gt;0,MAX($K$2:K33)+1,"")</f>
        <v/>
      </c>
    </row>
    <row r="35" customFormat="false" ht="15" hidden="false" customHeight="false" outlineLevel="0" collapsed="false">
      <c r="A35" s="0" t="n">
        <f aca="false">'Demand Projection'!A35</f>
        <v>34</v>
      </c>
      <c r="B35" s="0" t="str">
        <f aca="false">'Demand Projection'!B35</f>
        <v>SKU PROD A</v>
      </c>
      <c r="C35" s="2" t="n">
        <f aca="false">'Demand Projection'!C35</f>
        <v>46088</v>
      </c>
      <c r="D35" s="0" t="n">
        <f aca="false">'Demand Projection'!D35</f>
        <v>1029</v>
      </c>
      <c r="E35" s="0" t="n">
        <f aca="false">SUMIFS('Demand Projection'!$D$2:$D$169,'Demand Projection'!$B$2:$B$169,B35,'Demand Projection'!$C$2:$C$169,"&gt;="&amp;C35,'Demand Projection'!$C$2:$C$169,"&lt;="&amp;C35+5)</f>
        <v>1029</v>
      </c>
      <c r="F35" s="0" t="n">
        <f aca="false">SUMIFS($I$2:I34,$B$2:B34,B35,$J$2:J34,"&lt;="&amp;C35)</f>
        <v>7352</v>
      </c>
      <c r="G35" s="0" t="n">
        <f aca="false">SUMIFS($D$2:D35,$B$2:B35,B35)</f>
        <v>9465</v>
      </c>
      <c r="H35" s="0" t="n">
        <f aca="false">VLOOKUP(B35,Warehouse!$B$2:$D$6,3,FALSE())+F35-G35</f>
        <v>87</v>
      </c>
      <c r="I35" s="0" t="n">
        <f aca="false">IF(H35&lt;VLOOKUP(B35,Capacity!$D$3:$F$7,2,FALSE()),VLOOKUP(B35,Capacity!$D$3:$F$7,3,FALSE())-H35,0)</f>
        <v>2545</v>
      </c>
      <c r="J35" s="2" t="n">
        <f aca="false">IF(I35&gt;0,C35+3,"")</f>
        <v>46091</v>
      </c>
      <c r="K35" s="0" t="n">
        <f aca="false">IF(I35&gt;0,MAX($K$2:K34)+1,"")</f>
        <v>13</v>
      </c>
    </row>
    <row r="36" customFormat="false" ht="15" hidden="false" customHeight="false" outlineLevel="0" collapsed="false">
      <c r="A36" s="0" t="n">
        <f aca="false">'Demand Projection'!A36</f>
        <v>35</v>
      </c>
      <c r="B36" s="0" t="str">
        <f aca="false">'Demand Projection'!B36</f>
        <v>SKU PROD C</v>
      </c>
      <c r="C36" s="2" t="n">
        <f aca="false">'Demand Projection'!C36</f>
        <v>46090</v>
      </c>
      <c r="D36" s="0" t="n">
        <f aca="false">'Demand Projection'!D36</f>
        <v>515</v>
      </c>
      <c r="E36" s="0" t="n">
        <f aca="false">SUMIFS('Demand Projection'!$D$2:$D$169,'Demand Projection'!$B$2:$B$169,B36,'Demand Projection'!$C$2:$C$169,"&gt;="&amp;C36,'Demand Projection'!$C$2:$C$169,"&lt;="&amp;C36+5)</f>
        <v>515</v>
      </c>
      <c r="F36" s="0" t="n">
        <f aca="false">SUMIFS($I$2:I35,$B$2:B35,B36,$J$2:J35,"&lt;="&amp;C36)</f>
        <v>4367</v>
      </c>
      <c r="G36" s="0" t="n">
        <f aca="false">SUMIFS($D$2:D36,$B$2:B36,B36)</f>
        <v>5972</v>
      </c>
      <c r="H36" s="0" t="n">
        <f aca="false">VLOOKUP(B36,Warehouse!$B$2:$D$6,3,FALSE())+F36-G36</f>
        <v>95</v>
      </c>
      <c r="I36" s="0" t="n">
        <f aca="false">IF(H36&lt;VLOOKUP(B36,Capacity!$D$3:$F$7,2,FALSE()),VLOOKUP(B36,Capacity!$D$3:$F$7,3,FALSE())-H36,0)</f>
        <v>1442</v>
      </c>
      <c r="J36" s="2" t="n">
        <f aca="false">IF(I36&gt;0,C36+3,"")</f>
        <v>46093</v>
      </c>
      <c r="K36" s="0" t="n">
        <f aca="false">IF(I36&gt;0,MAX($K$2:K35)+1,"")</f>
        <v>14</v>
      </c>
    </row>
    <row r="37" customFormat="false" ht="15" hidden="false" customHeight="false" outlineLevel="0" collapsed="false">
      <c r="A37" s="0" t="n">
        <f aca="false">'Demand Projection'!A37</f>
        <v>36</v>
      </c>
      <c r="B37" s="0" t="str">
        <f aca="false">'Demand Projection'!B37</f>
        <v>SKU PROD E</v>
      </c>
      <c r="C37" s="2" t="n">
        <f aca="false">'Demand Projection'!C37</f>
        <v>46093</v>
      </c>
      <c r="D37" s="0" t="n">
        <f aca="false">'Demand Projection'!D37</f>
        <v>412</v>
      </c>
      <c r="E37" s="0" t="n">
        <f aca="false">SUMIFS('Demand Projection'!$D$2:$D$169,'Demand Projection'!$B$2:$B$169,B37,'Demand Projection'!$C$2:$C$169,"&gt;="&amp;C37,'Demand Projection'!$C$2:$C$169,"&lt;="&amp;C37+5)</f>
        <v>412</v>
      </c>
      <c r="F37" s="0" t="n">
        <f aca="false">SUMIFS($I$2:I36,$B$2:B36,B37,$J$2:J36,"&lt;="&amp;C37)</f>
        <v>5027</v>
      </c>
      <c r="G37" s="0" t="n">
        <f aca="false">SUMIFS($D$2:D37,$B$2:B37,B37)</f>
        <v>5382</v>
      </c>
      <c r="H37" s="0" t="n">
        <f aca="false">VLOOKUP(B37,Warehouse!$B$2:$D$6,3,FALSE())+F37-G37</f>
        <v>1945</v>
      </c>
      <c r="I37" s="0" t="n">
        <f aca="false">IF(H37&lt;VLOOKUP(B37,Capacity!$D$3:$F$7,2,FALSE()),VLOOKUP(B37,Capacity!$D$3:$F$7,3,FALSE())-H37,0)</f>
        <v>0</v>
      </c>
      <c r="J37" s="2" t="str">
        <f aca="false">IF(I37&gt;0,C37+3,"")</f>
        <v/>
      </c>
      <c r="K37" s="0" t="str">
        <f aca="false">IF(I37&gt;0,MAX($K$2:K36)+1,"")</f>
        <v/>
      </c>
    </row>
    <row r="38" customFormat="false" ht="15" hidden="false" customHeight="false" outlineLevel="0" collapsed="false">
      <c r="A38" s="0" t="n">
        <f aca="false">'Demand Projection'!A38</f>
        <v>37</v>
      </c>
      <c r="B38" s="0" t="str">
        <f aca="false">'Demand Projection'!B38</f>
        <v>SKU PROD B</v>
      </c>
      <c r="C38" s="2" t="n">
        <f aca="false">'Demand Projection'!C38</f>
        <v>46094</v>
      </c>
      <c r="D38" s="0" t="n">
        <f aca="false">'Demand Projection'!D38</f>
        <v>618</v>
      </c>
      <c r="E38" s="0" t="n">
        <f aca="false">SUMIFS('Demand Projection'!$D$2:$D$169,'Demand Projection'!$B$2:$B$169,B38,'Demand Projection'!$C$2:$C$169,"&gt;="&amp;C38,'Demand Projection'!$C$2:$C$169,"&lt;="&amp;C38+5)</f>
        <v>618</v>
      </c>
      <c r="F38" s="0" t="n">
        <f aca="false">SUMIFS($I$2:I37,$B$2:B37,B38,$J$2:J37,"&lt;="&amp;C38)</f>
        <v>18274</v>
      </c>
      <c r="G38" s="0" t="n">
        <f aca="false">SUMIFS($D$2:D38,$B$2:B38,B38)</f>
        <v>20322</v>
      </c>
      <c r="H38" s="0" t="n">
        <f aca="false">VLOOKUP(B38,Warehouse!$B$2:$D$6,3,FALSE())+F38-G38</f>
        <v>5952</v>
      </c>
      <c r="I38" s="0" t="n">
        <f aca="false">IF(H38&lt;VLOOKUP(B38,Capacity!$D$3:$F$7,2,FALSE()),VLOOKUP(B38,Capacity!$D$3:$F$7,3,FALSE())-H38,0)</f>
        <v>0</v>
      </c>
      <c r="J38" s="2" t="str">
        <f aca="false">IF(I38&gt;0,C38+3,"")</f>
        <v/>
      </c>
      <c r="K38" s="0" t="str">
        <f aca="false">IF(I38&gt;0,MAX($K$2:K37)+1,"")</f>
        <v/>
      </c>
    </row>
    <row r="39" customFormat="false" ht="15" hidden="false" customHeight="false" outlineLevel="0" collapsed="false">
      <c r="A39" s="0" t="n">
        <f aca="false">'Demand Projection'!A39</f>
        <v>38</v>
      </c>
      <c r="B39" s="0" t="str">
        <f aca="false">'Demand Projection'!B39</f>
        <v>SKU PROD D</v>
      </c>
      <c r="C39" s="2" t="n">
        <f aca="false">'Demand Projection'!C39</f>
        <v>46098</v>
      </c>
      <c r="D39" s="0" t="n">
        <f aca="false">'Demand Projection'!D39</f>
        <v>949</v>
      </c>
      <c r="E39" s="0" t="n">
        <f aca="false">SUMIFS('Demand Projection'!$D$2:$D$169,'Demand Projection'!$B$2:$B$169,B39,'Demand Projection'!$C$2:$C$169,"&gt;="&amp;C39,'Demand Projection'!$C$2:$C$169,"&lt;="&amp;C39+5)</f>
        <v>949</v>
      </c>
      <c r="F39" s="0" t="n">
        <f aca="false">SUMIFS($I$2:I38,$B$2:B38,B39,$J$2:J38,"&lt;="&amp;C39)</f>
        <v>9355</v>
      </c>
      <c r="G39" s="0" t="n">
        <f aca="false">SUMIFS($D$2:D39,$B$2:B39,B39)</f>
        <v>10890</v>
      </c>
      <c r="H39" s="0" t="n">
        <f aca="false">VLOOKUP(B39,Warehouse!$B$2:$D$6,3,FALSE())+F39-G39</f>
        <v>1965</v>
      </c>
      <c r="I39" s="0" t="n">
        <f aca="false">IF(H39&lt;VLOOKUP(B39,Capacity!$D$3:$F$7,2,FALSE()),VLOOKUP(B39,Capacity!$D$3:$F$7,3,FALSE())-H39,0)</f>
        <v>0</v>
      </c>
      <c r="J39" s="2" t="str">
        <f aca="false">IF(I39&gt;0,C39+3,"")</f>
        <v/>
      </c>
      <c r="K39" s="0" t="str">
        <f aca="false">IF(I39&gt;0,MAX($K$2:K38)+1,"")</f>
        <v/>
      </c>
    </row>
    <row r="40" customFormat="false" ht="15" hidden="false" customHeight="false" outlineLevel="0" collapsed="false">
      <c r="A40" s="0" t="n">
        <f aca="false">'Demand Projection'!A40</f>
        <v>39</v>
      </c>
      <c r="B40" s="0" t="str">
        <f aca="false">'Demand Projection'!B40</f>
        <v>SKU PROD C</v>
      </c>
      <c r="C40" s="2" t="n">
        <f aca="false">'Demand Projection'!C40</f>
        <v>46101</v>
      </c>
      <c r="D40" s="0" t="n">
        <f aca="false">'Demand Projection'!D40</f>
        <v>873</v>
      </c>
      <c r="E40" s="0" t="n">
        <f aca="false">SUMIFS('Demand Projection'!$D$2:$D$169,'Demand Projection'!$B$2:$B$169,B40,'Demand Projection'!$C$2:$C$169,"&gt;="&amp;C40,'Demand Projection'!$C$2:$C$169,"&lt;="&amp;C40+5)</f>
        <v>873</v>
      </c>
      <c r="F40" s="0" t="n">
        <f aca="false">SUMIFS($I$2:I39,$B$2:B39,B40,$J$2:J39,"&lt;="&amp;C40)</f>
        <v>5809</v>
      </c>
      <c r="G40" s="0" t="n">
        <f aca="false">SUMIFS($D$2:D40,$B$2:B40,B40)</f>
        <v>6845</v>
      </c>
      <c r="H40" s="0" t="n">
        <f aca="false">VLOOKUP(B40,Warehouse!$B$2:$D$6,3,FALSE())+F40-G40</f>
        <v>664</v>
      </c>
      <c r="I40" s="0" t="n">
        <f aca="false">IF(H40&lt;VLOOKUP(B40,Capacity!$D$3:$F$7,2,FALSE()),VLOOKUP(B40,Capacity!$D$3:$F$7,3,FALSE())-H40,0)</f>
        <v>0</v>
      </c>
      <c r="J40" s="2" t="str">
        <f aca="false">IF(I40&gt;0,C40+3,"")</f>
        <v/>
      </c>
      <c r="K40" s="0" t="str">
        <f aca="false">IF(I40&gt;0,MAX($K$2:K39)+1,"")</f>
        <v/>
      </c>
    </row>
    <row r="41" customFormat="false" ht="15" hidden="false" customHeight="false" outlineLevel="0" collapsed="false">
      <c r="A41" s="0" t="n">
        <f aca="false">'Demand Projection'!A41</f>
        <v>40</v>
      </c>
      <c r="B41" s="0" t="str">
        <f aca="false">'Demand Projection'!B41</f>
        <v>SKU PROD A</v>
      </c>
      <c r="C41" s="2" t="n">
        <f aca="false">'Demand Projection'!C41</f>
        <v>46105</v>
      </c>
      <c r="D41" s="0" t="n">
        <f aca="false">'Demand Projection'!D41</f>
        <v>1092</v>
      </c>
      <c r="E41" s="0" t="n">
        <f aca="false">SUMIFS('Demand Projection'!$D$2:$D$169,'Demand Projection'!$B$2:$B$169,B41,'Demand Projection'!$C$2:$C$169,"&gt;="&amp;C41,'Demand Projection'!$C$2:$C$169,"&lt;="&amp;C41+5)</f>
        <v>1092</v>
      </c>
      <c r="F41" s="0" t="n">
        <f aca="false">SUMIFS($I$2:I40,$B$2:B40,B41,$J$2:J40,"&lt;="&amp;C41)</f>
        <v>9897</v>
      </c>
      <c r="G41" s="0" t="n">
        <f aca="false">SUMIFS($D$2:D41,$B$2:B41,B41)</f>
        <v>10557</v>
      </c>
      <c r="H41" s="0" t="n">
        <f aca="false">VLOOKUP(B41,Warehouse!$B$2:$D$6,3,FALSE())+F41-G41</f>
        <v>1540</v>
      </c>
      <c r="I41" s="0" t="n">
        <f aca="false">IF(H41&lt;VLOOKUP(B41,Capacity!$D$3:$F$7,2,FALSE()),VLOOKUP(B41,Capacity!$D$3:$F$7,3,FALSE())-H41,0)</f>
        <v>0</v>
      </c>
      <c r="J41" s="2" t="str">
        <f aca="false">IF(I41&gt;0,C41+3,"")</f>
        <v/>
      </c>
      <c r="K41" s="0" t="str">
        <f aca="false">IF(I41&gt;0,MAX($K$2:K40)+1,"")</f>
        <v/>
      </c>
    </row>
    <row r="42" customFormat="false" ht="15" hidden="false" customHeight="false" outlineLevel="0" collapsed="false">
      <c r="A42" s="0" t="n">
        <f aca="false">'Demand Projection'!A42</f>
        <v>41</v>
      </c>
      <c r="B42" s="0" t="str">
        <f aca="false">'Demand Projection'!B42</f>
        <v>SKU PROD D</v>
      </c>
      <c r="C42" s="2" t="n">
        <f aca="false">'Demand Projection'!C42</f>
        <v>46109</v>
      </c>
      <c r="D42" s="0" t="n">
        <f aca="false">'Demand Projection'!D42</f>
        <v>3274</v>
      </c>
      <c r="E42" s="0" t="n">
        <f aca="false">SUMIFS('Demand Projection'!$D$2:$D$169,'Demand Projection'!$B$2:$B$169,B42,'Demand Projection'!$C$2:$C$169,"&gt;="&amp;C42,'Demand Projection'!$C$2:$C$169,"&lt;="&amp;C42+5)</f>
        <v>3274</v>
      </c>
      <c r="F42" s="0" t="n">
        <f aca="false">SUMIFS($I$2:I41,$B$2:B41,B42,$J$2:J41,"&lt;="&amp;C42)</f>
        <v>9355</v>
      </c>
      <c r="G42" s="0" t="n">
        <f aca="false">SUMIFS($D$2:D42,$B$2:B42,B42)</f>
        <v>14164</v>
      </c>
      <c r="H42" s="0" t="n">
        <f aca="false">VLOOKUP(B42,Warehouse!$B$2:$D$6,3,FALSE())+F42-G42</f>
        <v>-1309</v>
      </c>
      <c r="I42" s="0" t="n">
        <f aca="false">IF(H42&lt;VLOOKUP(B42,Capacity!$D$3:$F$7,2,FALSE()),VLOOKUP(B42,Capacity!$D$3:$F$7,3,FALSE())-H42,0)</f>
        <v>4841</v>
      </c>
      <c r="J42" s="2" t="n">
        <f aca="false">IF(I42&gt;0,C42+3,"")</f>
        <v>46112</v>
      </c>
      <c r="K42" s="0" t="n">
        <f aca="false">IF(I42&gt;0,MAX($K$2:K41)+1,"")</f>
        <v>15</v>
      </c>
    </row>
    <row r="43" customFormat="false" ht="15" hidden="false" customHeight="false" outlineLevel="0" collapsed="false">
      <c r="A43" s="0" t="n">
        <f aca="false">'Demand Projection'!A43</f>
        <v>42</v>
      </c>
      <c r="B43" s="0" t="str">
        <f aca="false">'Demand Projection'!B43</f>
        <v>SKU PROD E</v>
      </c>
      <c r="C43" s="2" t="n">
        <f aca="false">'Demand Projection'!C43</f>
        <v>46109</v>
      </c>
      <c r="D43" s="0" t="n">
        <f aca="false">'Demand Projection'!D43</f>
        <v>2183</v>
      </c>
      <c r="E43" s="0" t="n">
        <f aca="false">SUMIFS('Demand Projection'!$D$2:$D$169,'Demand Projection'!$B$2:$B$169,B43,'Demand Projection'!$C$2:$C$169,"&gt;="&amp;C43,'Demand Projection'!$C$2:$C$169,"&lt;="&amp;C43+5)</f>
        <v>2183</v>
      </c>
      <c r="F43" s="0" t="n">
        <f aca="false">SUMIFS($I$2:I42,$B$2:B42,B43,$J$2:J42,"&lt;="&amp;C43)</f>
        <v>5027</v>
      </c>
      <c r="G43" s="0" t="n">
        <f aca="false">SUMIFS($D$2:D43,$B$2:B43,B43)</f>
        <v>7565</v>
      </c>
      <c r="H43" s="0" t="n">
        <f aca="false">VLOOKUP(B43,Warehouse!$B$2:$D$6,3,FALSE())+F43-G43</f>
        <v>-238</v>
      </c>
      <c r="I43" s="0" t="n">
        <f aca="false">IF(H43&lt;VLOOKUP(B43,Capacity!$D$3:$F$7,2,FALSE()),VLOOKUP(B43,Capacity!$D$3:$F$7,3,FALSE())-H43,0)</f>
        <v>2595</v>
      </c>
      <c r="J43" s="2" t="n">
        <f aca="false">IF(I43&gt;0,C43+3,"")</f>
        <v>46112</v>
      </c>
      <c r="K43" s="0" t="n">
        <f aca="false">IF(I43&gt;0,MAX($K$2:K42)+1,"")</f>
        <v>16</v>
      </c>
    </row>
    <row r="44" customFormat="false" ht="15" hidden="false" customHeight="false" outlineLevel="0" collapsed="false">
      <c r="A44" s="0" t="n">
        <f aca="false">'Demand Projection'!A44</f>
        <v>43</v>
      </c>
      <c r="B44" s="0" t="str">
        <f aca="false">'Demand Projection'!B44</f>
        <v>SKU PROD A</v>
      </c>
      <c r="C44" s="2" t="n">
        <f aca="false">'Demand Projection'!C44</f>
        <v>46115</v>
      </c>
      <c r="D44" s="0" t="n">
        <f aca="false">'Demand Projection'!D44</f>
        <v>1055</v>
      </c>
      <c r="E44" s="0" t="n">
        <f aca="false">SUMIFS('Demand Projection'!$D$2:$D$169,'Demand Projection'!$B$2:$B$169,B44,'Demand Projection'!$C$2:$C$169,"&gt;="&amp;C44,'Demand Projection'!$C$2:$C$169,"&lt;="&amp;C44+5)</f>
        <v>2533</v>
      </c>
      <c r="F44" s="0" t="n">
        <f aca="false">SUMIFS($I$2:I43,$B$2:B43,B44,$J$2:J43,"&lt;="&amp;C44)</f>
        <v>9897</v>
      </c>
      <c r="G44" s="0" t="n">
        <f aca="false">SUMIFS($D$2:D44,$B$2:B44,B44)</f>
        <v>11612</v>
      </c>
      <c r="H44" s="0" t="n">
        <f aca="false">VLOOKUP(B44,Warehouse!$B$2:$D$6,3,FALSE())+F44-G44</f>
        <v>485</v>
      </c>
      <c r="I44" s="0" t="n">
        <f aca="false">IF(H44&lt;VLOOKUP(B44,Capacity!$D$3:$F$7,2,FALSE()),VLOOKUP(B44,Capacity!$D$3:$F$7,3,FALSE())-H44,0)</f>
        <v>2147</v>
      </c>
      <c r="J44" s="2" t="n">
        <f aca="false">IF(I44&gt;0,C44+3,"")</f>
        <v>46118</v>
      </c>
      <c r="K44" s="0" t="n">
        <f aca="false">IF(I44&gt;0,MAX($K$2:K43)+1,"")</f>
        <v>17</v>
      </c>
    </row>
    <row r="45" customFormat="false" ht="15" hidden="false" customHeight="false" outlineLevel="0" collapsed="false">
      <c r="A45" s="0" t="n">
        <f aca="false">'Demand Projection'!A45</f>
        <v>44</v>
      </c>
      <c r="B45" s="0" t="str">
        <f aca="false">'Demand Projection'!B45</f>
        <v>SKU PROD B</v>
      </c>
      <c r="C45" s="2" t="n">
        <f aca="false">'Demand Projection'!C45</f>
        <v>46115</v>
      </c>
      <c r="D45" s="0" t="n">
        <f aca="false">'Demand Projection'!D45</f>
        <v>6329</v>
      </c>
      <c r="E45" s="0" t="n">
        <f aca="false">SUMIFS('Demand Projection'!$D$2:$D$169,'Demand Projection'!$B$2:$B$169,B45,'Demand Projection'!$C$2:$C$169,"&gt;="&amp;C45,'Demand Projection'!$C$2:$C$169,"&lt;="&amp;C45+5)</f>
        <v>6329</v>
      </c>
      <c r="F45" s="0" t="n">
        <f aca="false">SUMIFS($I$2:I44,$B$2:B44,B45,$J$2:J44,"&lt;="&amp;C45)</f>
        <v>18274</v>
      </c>
      <c r="G45" s="0" t="n">
        <f aca="false">SUMIFS($D$2:D45,$B$2:B45,B45)</f>
        <v>26651</v>
      </c>
      <c r="H45" s="0" t="n">
        <f aca="false">VLOOKUP(B45,Warehouse!$B$2:$D$6,3,FALSE())+F45-G45</f>
        <v>-377</v>
      </c>
      <c r="I45" s="0" t="n">
        <f aca="false">IF(H45&lt;VLOOKUP(B45,Capacity!$D$3:$F$7,2,FALSE()),VLOOKUP(B45,Capacity!$D$3:$F$7,3,FALSE())-H45,0)</f>
        <v>6947</v>
      </c>
      <c r="J45" s="2" t="n">
        <f aca="false">IF(I45&gt;0,C45+3,"")</f>
        <v>46118</v>
      </c>
      <c r="K45" s="0" t="n">
        <f aca="false">IF(I45&gt;0,MAX($K$2:K44)+1,"")</f>
        <v>18</v>
      </c>
    </row>
    <row r="46" customFormat="false" ht="15" hidden="false" customHeight="false" outlineLevel="0" collapsed="false">
      <c r="A46" s="0" t="n">
        <f aca="false">'Demand Projection'!A46</f>
        <v>45</v>
      </c>
      <c r="B46" s="0" t="str">
        <f aca="false">'Demand Projection'!B46</f>
        <v>SKU PROD A</v>
      </c>
      <c r="C46" s="2" t="n">
        <f aca="false">'Demand Projection'!C46</f>
        <v>46116</v>
      </c>
      <c r="D46" s="0" t="n">
        <f aca="false">'Demand Projection'!D46</f>
        <v>423</v>
      </c>
      <c r="E46" s="0" t="n">
        <f aca="false">SUMIFS('Demand Projection'!$D$2:$D$169,'Demand Projection'!$B$2:$B$169,B46,'Demand Projection'!$C$2:$C$169,"&gt;="&amp;C46,'Demand Projection'!$C$2:$C$169,"&lt;="&amp;C46+5)</f>
        <v>1478</v>
      </c>
      <c r="F46" s="0" t="n">
        <f aca="false">SUMIFS($I$2:I45,$B$2:B45,B46,$J$2:J45,"&lt;="&amp;C46)</f>
        <v>9897</v>
      </c>
      <c r="G46" s="0" t="n">
        <f aca="false">SUMIFS($D$2:D46,$B$2:B46,B46)</f>
        <v>12035</v>
      </c>
      <c r="H46" s="0" t="n">
        <f aca="false">VLOOKUP(B46,Warehouse!$B$2:$D$6,3,FALSE())+F46-G46</f>
        <v>62</v>
      </c>
      <c r="I46" s="0" t="n">
        <f aca="false">IF(H46&lt;VLOOKUP(B46,Capacity!$D$3:$F$7,2,FALSE()),VLOOKUP(B46,Capacity!$D$3:$F$7,3,FALSE())-H46,0)</f>
        <v>2570</v>
      </c>
      <c r="J46" s="2" t="n">
        <f aca="false">IF(I46&gt;0,C46+3,"")</f>
        <v>46119</v>
      </c>
      <c r="K46" s="0" t="n">
        <f aca="false">IF(I46&gt;0,MAX($K$2:K45)+1,"")</f>
        <v>19</v>
      </c>
    </row>
    <row r="47" customFormat="false" ht="15" hidden="false" customHeight="false" outlineLevel="0" collapsed="false">
      <c r="A47" s="0" t="n">
        <f aca="false">'Demand Projection'!A47</f>
        <v>46</v>
      </c>
      <c r="B47" s="0" t="str">
        <f aca="false">'Demand Projection'!B47</f>
        <v>SKU PROD C</v>
      </c>
      <c r="C47" s="2" t="n">
        <f aca="false">'Demand Projection'!C47</f>
        <v>46117</v>
      </c>
      <c r="D47" s="0" t="n">
        <f aca="false">'Demand Projection'!D47</f>
        <v>951</v>
      </c>
      <c r="E47" s="0" t="n">
        <f aca="false">SUMIFS('Demand Projection'!$D$2:$D$169,'Demand Projection'!$B$2:$B$169,B47,'Demand Projection'!$C$2:$C$169,"&gt;="&amp;C47,'Demand Projection'!$C$2:$C$169,"&lt;="&amp;C47+5)</f>
        <v>1479</v>
      </c>
      <c r="F47" s="0" t="n">
        <f aca="false">SUMIFS($I$2:I46,$B$2:B46,B47,$J$2:J46,"&lt;="&amp;C47)</f>
        <v>5809</v>
      </c>
      <c r="G47" s="0" t="n">
        <f aca="false">SUMIFS($D$2:D47,$B$2:B47,B47)</f>
        <v>7796</v>
      </c>
      <c r="H47" s="0" t="n">
        <f aca="false">VLOOKUP(B47,Warehouse!$B$2:$D$6,3,FALSE())+F47-G47</f>
        <v>-287</v>
      </c>
      <c r="I47" s="0" t="n">
        <f aca="false">IF(H47&lt;VLOOKUP(B47,Capacity!$D$3:$F$7,2,FALSE()),VLOOKUP(B47,Capacity!$D$3:$F$7,3,FALSE())-H47,0)</f>
        <v>1824</v>
      </c>
      <c r="J47" s="2" t="n">
        <f aca="false">IF(I47&gt;0,C47+3,"")</f>
        <v>46120</v>
      </c>
      <c r="K47" s="0" t="n">
        <f aca="false">IF(I47&gt;0,MAX($K$2:K46)+1,"")</f>
        <v>20</v>
      </c>
    </row>
    <row r="48" customFormat="false" ht="15" hidden="false" customHeight="false" outlineLevel="0" collapsed="false">
      <c r="A48" s="0" t="n">
        <f aca="false">'Demand Projection'!A48</f>
        <v>47</v>
      </c>
      <c r="B48" s="0" t="str">
        <f aca="false">'Demand Projection'!B48</f>
        <v>SKU PROD D</v>
      </c>
      <c r="C48" s="2" t="n">
        <f aca="false">'Demand Projection'!C48</f>
        <v>46118</v>
      </c>
      <c r="D48" s="0" t="n">
        <f aca="false">'Demand Projection'!D48</f>
        <v>634</v>
      </c>
      <c r="E48" s="0" t="n">
        <f aca="false">SUMIFS('Demand Projection'!$D$2:$D$169,'Demand Projection'!$B$2:$B$169,B48,'Demand Projection'!$C$2:$C$169,"&gt;="&amp;C48,'Demand Projection'!$C$2:$C$169,"&lt;="&amp;C48+5)</f>
        <v>634</v>
      </c>
      <c r="F48" s="0" t="n">
        <f aca="false">SUMIFS($I$2:I47,$B$2:B47,B48,$J$2:J47,"&lt;="&amp;C48)</f>
        <v>14196</v>
      </c>
      <c r="G48" s="0" t="n">
        <f aca="false">SUMIFS($D$2:D48,$B$2:B48,B48)</f>
        <v>14798</v>
      </c>
      <c r="H48" s="0" t="n">
        <f aca="false">VLOOKUP(B48,Warehouse!$B$2:$D$6,3,FALSE())+F48-G48</f>
        <v>2898</v>
      </c>
      <c r="I48" s="0" t="n">
        <f aca="false">IF(H48&lt;VLOOKUP(B48,Capacity!$D$3:$F$7,2,FALSE()),VLOOKUP(B48,Capacity!$D$3:$F$7,3,FALSE())-H48,0)</f>
        <v>0</v>
      </c>
      <c r="J48" s="2" t="str">
        <f aca="false">IF(I48&gt;0,C48+3,"")</f>
        <v/>
      </c>
      <c r="K48" s="0" t="str">
        <f aca="false">IF(I48&gt;0,MAX($K$2:K47)+1,"")</f>
        <v/>
      </c>
    </row>
    <row r="49" customFormat="false" ht="15" hidden="false" customHeight="false" outlineLevel="0" collapsed="false">
      <c r="A49" s="0" t="n">
        <f aca="false">'Demand Projection'!A49</f>
        <v>48</v>
      </c>
      <c r="B49" s="0" t="str">
        <f aca="false">'Demand Projection'!B49</f>
        <v>SKU PROD A</v>
      </c>
      <c r="C49" s="2" t="n">
        <f aca="false">'Demand Projection'!C49</f>
        <v>46119</v>
      </c>
      <c r="D49" s="0" t="n">
        <f aca="false">'Demand Projection'!D49</f>
        <v>1055</v>
      </c>
      <c r="E49" s="0" t="n">
        <f aca="false">SUMIFS('Demand Projection'!$D$2:$D$169,'Demand Projection'!$B$2:$B$169,B49,'Demand Projection'!$C$2:$C$169,"&gt;="&amp;C49,'Demand Projection'!$C$2:$C$169,"&lt;="&amp;C49+5)</f>
        <v>1055</v>
      </c>
      <c r="F49" s="0" t="n">
        <f aca="false">SUMIFS($I$2:I48,$B$2:B48,B49,$J$2:J48,"&lt;="&amp;C49)</f>
        <v>14614</v>
      </c>
      <c r="G49" s="0" t="n">
        <f aca="false">SUMIFS($D$2:D49,$B$2:B49,B49)</f>
        <v>13090</v>
      </c>
      <c r="H49" s="0" t="n">
        <f aca="false">VLOOKUP(B49,Warehouse!$B$2:$D$6,3,FALSE())+F49-G49</f>
        <v>3724</v>
      </c>
      <c r="I49" s="0" t="n">
        <f aca="false">IF(H49&lt;VLOOKUP(B49,Capacity!$D$3:$F$7,2,FALSE()),VLOOKUP(B49,Capacity!$D$3:$F$7,3,FALSE())-H49,0)</f>
        <v>0</v>
      </c>
      <c r="J49" s="2" t="str">
        <f aca="false">IF(I49&gt;0,C49+3,"")</f>
        <v/>
      </c>
      <c r="K49" s="0" t="str">
        <f aca="false">IF(I49&gt;0,MAX($K$2:K48)+1,"")</f>
        <v/>
      </c>
    </row>
    <row r="50" customFormat="false" ht="15" hidden="false" customHeight="false" outlineLevel="0" collapsed="false">
      <c r="A50" s="0" t="n">
        <f aca="false">'Demand Projection'!A50</f>
        <v>49</v>
      </c>
      <c r="B50" s="0" t="str">
        <f aca="false">'Demand Projection'!B50</f>
        <v>SKU PROD C</v>
      </c>
      <c r="C50" s="2" t="n">
        <f aca="false">'Demand Projection'!C50</f>
        <v>46121</v>
      </c>
      <c r="D50" s="0" t="n">
        <f aca="false">'Demand Projection'!D50</f>
        <v>528</v>
      </c>
      <c r="E50" s="0" t="n">
        <f aca="false">SUMIFS('Demand Projection'!$D$2:$D$169,'Demand Projection'!$B$2:$B$169,B50,'Demand Projection'!$C$2:$C$169,"&gt;="&amp;C50,'Demand Projection'!$C$2:$C$169,"&lt;="&amp;C50+5)</f>
        <v>528</v>
      </c>
      <c r="F50" s="0" t="n">
        <f aca="false">SUMIFS($I$2:I49,$B$2:B49,B50,$J$2:J49,"&lt;="&amp;C50)</f>
        <v>7633</v>
      </c>
      <c r="G50" s="0" t="n">
        <f aca="false">SUMIFS($D$2:D50,$B$2:B50,B50)</f>
        <v>8324</v>
      </c>
      <c r="H50" s="0" t="n">
        <f aca="false">VLOOKUP(B50,Warehouse!$B$2:$D$6,3,FALSE())+F50-G50</f>
        <v>1009</v>
      </c>
      <c r="I50" s="0" t="n">
        <f aca="false">IF(H50&lt;VLOOKUP(B50,Capacity!$D$3:$F$7,2,FALSE()),VLOOKUP(B50,Capacity!$D$3:$F$7,3,FALSE())-H50,0)</f>
        <v>0</v>
      </c>
      <c r="J50" s="2" t="str">
        <f aca="false">IF(I50&gt;0,C50+3,"")</f>
        <v/>
      </c>
      <c r="K50" s="0" t="str">
        <f aca="false">IF(I50&gt;0,MAX($K$2:K49)+1,"")</f>
        <v/>
      </c>
    </row>
    <row r="51" customFormat="false" ht="15" hidden="false" customHeight="false" outlineLevel="0" collapsed="false">
      <c r="A51" s="0" t="n">
        <f aca="false">'Demand Projection'!A51</f>
        <v>50</v>
      </c>
      <c r="B51" s="0" t="str">
        <f aca="false">'Demand Projection'!B51</f>
        <v>SKU PROD E</v>
      </c>
      <c r="C51" s="2" t="n">
        <f aca="false">'Demand Projection'!C51</f>
        <v>46124</v>
      </c>
      <c r="D51" s="0" t="n">
        <f aca="false">'Demand Projection'!D51</f>
        <v>423</v>
      </c>
      <c r="E51" s="0" t="n">
        <f aca="false">SUMIFS('Demand Projection'!$D$2:$D$169,'Demand Projection'!$B$2:$B$169,B51,'Demand Projection'!$C$2:$C$169,"&gt;="&amp;C51,'Demand Projection'!$C$2:$C$169,"&lt;="&amp;C51+5)</f>
        <v>423</v>
      </c>
      <c r="F51" s="0" t="n">
        <f aca="false">SUMIFS($I$2:I50,$B$2:B50,B51,$J$2:J50,"&lt;="&amp;C51)</f>
        <v>7622</v>
      </c>
      <c r="G51" s="0" t="n">
        <f aca="false">SUMIFS($D$2:D51,$B$2:B51,B51)</f>
        <v>7988</v>
      </c>
      <c r="H51" s="0" t="n">
        <f aca="false">VLOOKUP(B51,Warehouse!$B$2:$D$6,3,FALSE())+F51-G51</f>
        <v>1934</v>
      </c>
      <c r="I51" s="0" t="n">
        <f aca="false">IF(H51&lt;VLOOKUP(B51,Capacity!$D$3:$F$7,2,FALSE()),VLOOKUP(B51,Capacity!$D$3:$F$7,3,FALSE())-H51,0)</f>
        <v>0</v>
      </c>
      <c r="J51" s="2" t="str">
        <f aca="false">IF(I51&gt;0,C51+3,"")</f>
        <v/>
      </c>
      <c r="K51" s="0" t="str">
        <f aca="false">IF(I51&gt;0,MAX($K$2:K50)+1,"")</f>
        <v/>
      </c>
    </row>
    <row r="52" customFormat="false" ht="15" hidden="false" customHeight="false" outlineLevel="0" collapsed="false">
      <c r="A52" s="0" t="n">
        <f aca="false">'Demand Projection'!A52</f>
        <v>51</v>
      </c>
      <c r="B52" s="0" t="str">
        <f aca="false">'Demand Projection'!B52</f>
        <v>SKU PROD B</v>
      </c>
      <c r="C52" s="2" t="n">
        <f aca="false">'Demand Projection'!C52</f>
        <v>46125</v>
      </c>
      <c r="D52" s="0" t="n">
        <f aca="false">'Demand Projection'!D52</f>
        <v>634</v>
      </c>
      <c r="E52" s="0" t="n">
        <f aca="false">SUMIFS('Demand Projection'!$D$2:$D$169,'Demand Projection'!$B$2:$B$169,B52,'Demand Projection'!$C$2:$C$169,"&gt;="&amp;C52,'Demand Projection'!$C$2:$C$169,"&lt;="&amp;C52+5)</f>
        <v>634</v>
      </c>
      <c r="F52" s="0" t="n">
        <f aca="false">SUMIFS($I$2:I51,$B$2:B51,B52,$J$2:J51,"&lt;="&amp;C52)</f>
        <v>25221</v>
      </c>
      <c r="G52" s="0" t="n">
        <f aca="false">SUMIFS($D$2:D52,$B$2:B52,B52)</f>
        <v>27285</v>
      </c>
      <c r="H52" s="0" t="n">
        <f aca="false">VLOOKUP(B52,Warehouse!$B$2:$D$6,3,FALSE())+F52-G52</f>
        <v>5936</v>
      </c>
      <c r="I52" s="0" t="n">
        <f aca="false">IF(H52&lt;VLOOKUP(B52,Capacity!$D$3:$F$7,2,FALSE()),VLOOKUP(B52,Capacity!$D$3:$F$7,3,FALSE())-H52,0)</f>
        <v>0</v>
      </c>
      <c r="J52" s="2" t="str">
        <f aca="false">IF(I52&gt;0,C52+3,"")</f>
        <v/>
      </c>
      <c r="K52" s="0" t="str">
        <f aca="false">IF(I52&gt;0,MAX($K$2:K51)+1,"")</f>
        <v/>
      </c>
    </row>
    <row r="53" customFormat="false" ht="15" hidden="false" customHeight="false" outlineLevel="0" collapsed="false">
      <c r="A53" s="0" t="n">
        <f aca="false">'Demand Projection'!A53</f>
        <v>52</v>
      </c>
      <c r="B53" s="0" t="str">
        <f aca="false">'Demand Projection'!B53</f>
        <v>SKU PROD D</v>
      </c>
      <c r="C53" s="2" t="n">
        <f aca="false">'Demand Projection'!C53</f>
        <v>46129</v>
      </c>
      <c r="D53" s="0" t="n">
        <f aca="false">'Demand Projection'!D53</f>
        <v>902</v>
      </c>
      <c r="E53" s="0" t="n">
        <f aca="false">SUMIFS('Demand Projection'!$D$2:$D$169,'Demand Projection'!$B$2:$B$169,B53,'Demand Projection'!$C$2:$C$169,"&gt;="&amp;C53,'Demand Projection'!$C$2:$C$169,"&lt;="&amp;C53+5)</f>
        <v>902</v>
      </c>
      <c r="F53" s="0" t="n">
        <f aca="false">SUMIFS($I$2:I52,$B$2:B52,B53,$J$2:J52,"&lt;="&amp;C53)</f>
        <v>14196</v>
      </c>
      <c r="G53" s="0" t="n">
        <f aca="false">SUMIFS($D$2:D53,$B$2:B53,B53)</f>
        <v>15700</v>
      </c>
      <c r="H53" s="0" t="n">
        <f aca="false">VLOOKUP(B53,Warehouse!$B$2:$D$6,3,FALSE())+F53-G53</f>
        <v>1996</v>
      </c>
      <c r="I53" s="0" t="n">
        <f aca="false">IF(H53&lt;VLOOKUP(B53,Capacity!$D$3:$F$7,2,FALSE()),VLOOKUP(B53,Capacity!$D$3:$F$7,3,FALSE())-H53,0)</f>
        <v>0</v>
      </c>
      <c r="J53" s="2" t="str">
        <f aca="false">IF(I53&gt;0,C53+3,"")</f>
        <v/>
      </c>
      <c r="K53" s="0" t="str">
        <f aca="false">IF(I53&gt;0,MAX($K$2:K52)+1,"")</f>
        <v/>
      </c>
    </row>
    <row r="54" customFormat="false" ht="15" hidden="false" customHeight="false" outlineLevel="0" collapsed="false">
      <c r="A54" s="0" t="n">
        <f aca="false">'Demand Projection'!A54</f>
        <v>53</v>
      </c>
      <c r="B54" s="0" t="str">
        <f aca="false">'Demand Projection'!B54</f>
        <v>SKU PROD C</v>
      </c>
      <c r="C54" s="2" t="n">
        <f aca="false">'Demand Projection'!C54</f>
        <v>46132</v>
      </c>
      <c r="D54" s="0" t="n">
        <f aca="false">'Demand Projection'!D54</f>
        <v>830</v>
      </c>
      <c r="E54" s="0" t="n">
        <f aca="false">SUMIFS('Demand Projection'!$D$2:$D$169,'Demand Projection'!$B$2:$B$169,B54,'Demand Projection'!$C$2:$C$169,"&gt;="&amp;C54,'Demand Projection'!$C$2:$C$169,"&lt;="&amp;C54+5)</f>
        <v>830</v>
      </c>
      <c r="F54" s="0" t="n">
        <f aca="false">SUMIFS($I$2:I53,$B$2:B53,B54,$J$2:J53,"&lt;="&amp;C54)</f>
        <v>7633</v>
      </c>
      <c r="G54" s="0" t="n">
        <f aca="false">SUMIFS($D$2:D54,$B$2:B54,B54)</f>
        <v>9154</v>
      </c>
      <c r="H54" s="0" t="n">
        <f aca="false">VLOOKUP(B54,Warehouse!$B$2:$D$6,3,FALSE())+F54-G54</f>
        <v>179</v>
      </c>
      <c r="I54" s="0" t="n">
        <f aca="false">IF(H54&lt;VLOOKUP(B54,Capacity!$D$3:$F$7,2,FALSE()),VLOOKUP(B54,Capacity!$D$3:$F$7,3,FALSE())-H54,0)</f>
        <v>1358</v>
      </c>
      <c r="J54" s="2" t="n">
        <f aca="false">IF(I54&gt;0,C54+3,"")</f>
        <v>46135</v>
      </c>
      <c r="K54" s="0" t="n">
        <f aca="false">IF(I54&gt;0,MAX($K$2:K53)+1,"")</f>
        <v>21</v>
      </c>
    </row>
    <row r="55" customFormat="false" ht="15" hidden="false" customHeight="false" outlineLevel="0" collapsed="false">
      <c r="A55" s="0" t="n">
        <f aca="false">'Demand Projection'!A55</f>
        <v>54</v>
      </c>
      <c r="B55" s="0" t="str">
        <f aca="false">'Demand Projection'!B55</f>
        <v>SKU PROD A</v>
      </c>
      <c r="C55" s="2" t="n">
        <f aca="false">'Demand Projection'!C55</f>
        <v>46136</v>
      </c>
      <c r="D55" s="0" t="n">
        <f aca="false">'Demand Projection'!D55</f>
        <v>1038</v>
      </c>
      <c r="E55" s="0" t="n">
        <f aca="false">SUMIFS('Demand Projection'!$D$2:$D$169,'Demand Projection'!$B$2:$B$169,B55,'Demand Projection'!$C$2:$C$169,"&gt;="&amp;C55,'Demand Projection'!$C$2:$C$169,"&lt;="&amp;C55+5)</f>
        <v>1038</v>
      </c>
      <c r="F55" s="0" t="n">
        <f aca="false">SUMIFS($I$2:I54,$B$2:B54,B55,$J$2:J54,"&lt;="&amp;C55)</f>
        <v>14614</v>
      </c>
      <c r="G55" s="0" t="n">
        <f aca="false">SUMIFS($D$2:D55,$B$2:B55,B55)</f>
        <v>14128</v>
      </c>
      <c r="H55" s="0" t="n">
        <f aca="false">VLOOKUP(B55,Warehouse!$B$2:$D$6,3,FALSE())+F55-G55</f>
        <v>2686</v>
      </c>
      <c r="I55" s="0" t="n">
        <f aca="false">IF(H55&lt;VLOOKUP(B55,Capacity!$D$3:$F$7,2,FALSE()),VLOOKUP(B55,Capacity!$D$3:$F$7,3,FALSE())-H55,0)</f>
        <v>0</v>
      </c>
      <c r="J55" s="2" t="str">
        <f aca="false">IF(I55&gt;0,C55+3,"")</f>
        <v/>
      </c>
      <c r="K55" s="0" t="str">
        <f aca="false">IF(I55&gt;0,MAX($K$2:K54)+1,"")</f>
        <v/>
      </c>
    </row>
    <row r="56" customFormat="false" ht="15" hidden="false" customHeight="false" outlineLevel="0" collapsed="false">
      <c r="A56" s="0" t="n">
        <f aca="false">'Demand Projection'!A56</f>
        <v>55</v>
      </c>
      <c r="B56" s="0" t="str">
        <f aca="false">'Demand Projection'!B56</f>
        <v>SKU PROD D</v>
      </c>
      <c r="C56" s="2" t="n">
        <f aca="false">'Demand Projection'!C56</f>
        <v>46140</v>
      </c>
      <c r="D56" s="0" t="n">
        <f aca="false">'Demand Projection'!D56</f>
        <v>3111</v>
      </c>
      <c r="E56" s="0" t="n">
        <f aca="false">SUMIFS('Demand Projection'!$D$2:$D$169,'Demand Projection'!$B$2:$B$169,B56,'Demand Projection'!$C$2:$C$169,"&gt;="&amp;C56,'Demand Projection'!$C$2:$C$169,"&lt;="&amp;C56+5)</f>
        <v>3111</v>
      </c>
      <c r="F56" s="0" t="n">
        <f aca="false">SUMIFS($I$2:I55,$B$2:B55,B56,$J$2:J55,"&lt;="&amp;C56)</f>
        <v>14196</v>
      </c>
      <c r="G56" s="0" t="n">
        <f aca="false">SUMIFS($D$2:D56,$B$2:B56,B56)</f>
        <v>18811</v>
      </c>
      <c r="H56" s="0" t="n">
        <f aca="false">VLOOKUP(B56,Warehouse!$B$2:$D$6,3,FALSE())+F56-G56</f>
        <v>-1115</v>
      </c>
      <c r="I56" s="0" t="n">
        <f aca="false">IF(H56&lt;VLOOKUP(B56,Capacity!$D$3:$F$7,2,FALSE()),VLOOKUP(B56,Capacity!$D$3:$F$7,3,FALSE())-H56,0)</f>
        <v>4647</v>
      </c>
      <c r="J56" s="2" t="n">
        <f aca="false">IF(I56&gt;0,C56+3,"")</f>
        <v>46143</v>
      </c>
      <c r="K56" s="0" t="n">
        <f aca="false">IF(I56&gt;0,MAX($K$2:K55)+1,"")</f>
        <v>22</v>
      </c>
    </row>
    <row r="57" customFormat="false" ht="15" hidden="false" customHeight="false" outlineLevel="0" collapsed="false">
      <c r="A57" s="0" t="n">
        <f aca="false">'Demand Projection'!A57</f>
        <v>56</v>
      </c>
      <c r="B57" s="0" t="str">
        <f aca="false">'Demand Projection'!B57</f>
        <v>SKU PROD E</v>
      </c>
      <c r="C57" s="2" t="n">
        <f aca="false">'Demand Projection'!C57</f>
        <v>46140</v>
      </c>
      <c r="D57" s="0" t="n">
        <f aca="false">'Demand Projection'!D57</f>
        <v>2074</v>
      </c>
      <c r="E57" s="0" t="n">
        <f aca="false">SUMIFS('Demand Projection'!$D$2:$D$169,'Demand Projection'!$B$2:$B$169,B57,'Demand Projection'!$C$2:$C$169,"&gt;="&amp;C57,'Demand Projection'!$C$2:$C$169,"&lt;="&amp;C57+5)</f>
        <v>2074</v>
      </c>
      <c r="F57" s="0" t="n">
        <f aca="false">SUMIFS($I$2:I56,$B$2:B56,B57,$J$2:J56,"&lt;="&amp;C57)</f>
        <v>7622</v>
      </c>
      <c r="G57" s="0" t="n">
        <f aca="false">SUMIFS($D$2:D57,$B$2:B57,B57)</f>
        <v>10062</v>
      </c>
      <c r="H57" s="0" t="n">
        <f aca="false">VLOOKUP(B57,Warehouse!$B$2:$D$6,3,FALSE())+F57-G57</f>
        <v>-140</v>
      </c>
      <c r="I57" s="0" t="n">
        <f aca="false">IF(H57&lt;VLOOKUP(B57,Capacity!$D$3:$F$7,2,FALSE()),VLOOKUP(B57,Capacity!$D$3:$F$7,3,FALSE())-H57,0)</f>
        <v>2497</v>
      </c>
      <c r="J57" s="2" t="n">
        <f aca="false">IF(I57&gt;0,C57+3,"")</f>
        <v>46143</v>
      </c>
      <c r="K57" s="0" t="n">
        <f aca="false">IF(I57&gt;0,MAX($K$2:K56)+1,"")</f>
        <v>23</v>
      </c>
    </row>
    <row r="58" customFormat="false" ht="15" hidden="false" customHeight="false" outlineLevel="0" collapsed="false">
      <c r="A58" s="0" t="n">
        <f aca="false">'Demand Projection'!A58</f>
        <v>57</v>
      </c>
      <c r="B58" s="0" t="str">
        <f aca="false">'Demand Projection'!B58</f>
        <v>SKU PROD A</v>
      </c>
      <c r="C58" s="2" t="n">
        <f aca="false">'Demand Projection'!C58</f>
        <v>46145</v>
      </c>
      <c r="D58" s="0" t="n">
        <f aca="false">'Demand Projection'!D58</f>
        <v>1003</v>
      </c>
      <c r="E58" s="0" t="n">
        <f aca="false">SUMIFS('Demand Projection'!$D$2:$D$169,'Demand Projection'!$B$2:$B$169,B58,'Demand Projection'!$C$2:$C$169,"&gt;="&amp;C58,'Demand Projection'!$C$2:$C$169,"&lt;="&amp;C58+5)</f>
        <v>2408</v>
      </c>
      <c r="F58" s="0" t="n">
        <f aca="false">SUMIFS($I$2:I57,$B$2:B57,B58,$J$2:J57,"&lt;="&amp;C58)</f>
        <v>14614</v>
      </c>
      <c r="G58" s="0" t="n">
        <f aca="false">SUMIFS($D$2:D58,$B$2:B58,B58)</f>
        <v>15131</v>
      </c>
      <c r="H58" s="0" t="n">
        <f aca="false">VLOOKUP(B58,Warehouse!$B$2:$D$6,3,FALSE())+F58-G58</f>
        <v>1683</v>
      </c>
      <c r="I58" s="0" t="n">
        <f aca="false">IF(H58&lt;VLOOKUP(B58,Capacity!$D$3:$F$7,2,FALSE()),VLOOKUP(B58,Capacity!$D$3:$F$7,3,FALSE())-H58,0)</f>
        <v>0</v>
      </c>
      <c r="J58" s="2" t="str">
        <f aca="false">IF(I58&gt;0,C58+3,"")</f>
        <v/>
      </c>
      <c r="K58" s="0" t="str">
        <f aca="false">IF(I58&gt;0,MAX($K$2:K57)+1,"")</f>
        <v/>
      </c>
    </row>
    <row r="59" customFormat="false" ht="15" hidden="false" customHeight="false" outlineLevel="0" collapsed="false">
      <c r="A59" s="0" t="n">
        <f aca="false">'Demand Projection'!A59</f>
        <v>58</v>
      </c>
      <c r="B59" s="0" t="str">
        <f aca="false">'Demand Projection'!B59</f>
        <v>SKU PROD B</v>
      </c>
      <c r="C59" s="2" t="n">
        <f aca="false">'Demand Projection'!C59</f>
        <v>46145</v>
      </c>
      <c r="D59" s="0" t="n">
        <f aca="false">'Demand Projection'!D59</f>
        <v>6013</v>
      </c>
      <c r="E59" s="0" t="n">
        <f aca="false">SUMIFS('Demand Projection'!$D$2:$D$169,'Demand Projection'!$B$2:$B$169,B59,'Demand Projection'!$C$2:$C$169,"&gt;="&amp;C59,'Demand Projection'!$C$2:$C$169,"&lt;="&amp;C59+5)</f>
        <v>6013</v>
      </c>
      <c r="F59" s="0" t="n">
        <f aca="false">SUMIFS($I$2:I58,$B$2:B58,B59,$J$2:J58,"&lt;="&amp;C59)</f>
        <v>25221</v>
      </c>
      <c r="G59" s="0" t="n">
        <f aca="false">SUMIFS($D$2:D59,$B$2:B59,B59)</f>
        <v>33298</v>
      </c>
      <c r="H59" s="0" t="n">
        <f aca="false">VLOOKUP(B59,Warehouse!$B$2:$D$6,3,FALSE())+F59-G59</f>
        <v>-77</v>
      </c>
      <c r="I59" s="0" t="n">
        <f aca="false">IF(H59&lt;VLOOKUP(B59,Capacity!$D$3:$F$7,2,FALSE()),VLOOKUP(B59,Capacity!$D$3:$F$7,3,FALSE())-H59,0)</f>
        <v>6647</v>
      </c>
      <c r="J59" s="2" t="n">
        <f aca="false">IF(I59&gt;0,C59+3,"")</f>
        <v>46148</v>
      </c>
      <c r="K59" s="0" t="n">
        <f aca="false">IF(I59&gt;0,MAX($K$2:K58)+1,"")</f>
        <v>24</v>
      </c>
    </row>
    <row r="60" customFormat="false" ht="15" hidden="false" customHeight="false" outlineLevel="0" collapsed="false">
      <c r="A60" s="0" t="n">
        <f aca="false">'Demand Projection'!A60</f>
        <v>59</v>
      </c>
      <c r="B60" s="0" t="str">
        <f aca="false">'Demand Projection'!B60</f>
        <v>SKU PROD A</v>
      </c>
      <c r="C60" s="2" t="n">
        <f aca="false">'Demand Projection'!C60</f>
        <v>46146</v>
      </c>
      <c r="D60" s="0" t="n">
        <f aca="false">'Demand Projection'!D60</f>
        <v>402</v>
      </c>
      <c r="E60" s="0" t="n">
        <f aca="false">SUMIFS('Demand Projection'!$D$2:$D$169,'Demand Projection'!$B$2:$B$169,B60,'Demand Projection'!$C$2:$C$169,"&gt;="&amp;C60,'Demand Projection'!$C$2:$C$169,"&lt;="&amp;C60+5)</f>
        <v>1405</v>
      </c>
      <c r="F60" s="0" t="n">
        <f aca="false">SUMIFS($I$2:I59,$B$2:B59,B60,$J$2:J59,"&lt;="&amp;C60)</f>
        <v>14614</v>
      </c>
      <c r="G60" s="0" t="n">
        <f aca="false">SUMIFS($D$2:D60,$B$2:B60,B60)</f>
        <v>15533</v>
      </c>
      <c r="H60" s="0" t="n">
        <f aca="false">VLOOKUP(B60,Warehouse!$B$2:$D$6,3,FALSE())+F60-G60</f>
        <v>1281</v>
      </c>
      <c r="I60" s="0" t="n">
        <f aca="false">IF(H60&lt;VLOOKUP(B60,Capacity!$D$3:$F$7,2,FALSE()),VLOOKUP(B60,Capacity!$D$3:$F$7,3,FALSE())-H60,0)</f>
        <v>0</v>
      </c>
      <c r="J60" s="2" t="str">
        <f aca="false">IF(I60&gt;0,C60+3,"")</f>
        <v/>
      </c>
      <c r="K60" s="0" t="str">
        <f aca="false">IF(I60&gt;0,MAX($K$2:K59)+1,"")</f>
        <v/>
      </c>
    </row>
    <row r="61" customFormat="false" ht="15" hidden="false" customHeight="false" outlineLevel="0" collapsed="false">
      <c r="A61" s="0" t="n">
        <f aca="false">'Demand Projection'!A61</f>
        <v>60</v>
      </c>
      <c r="B61" s="0" t="str">
        <f aca="false">'Demand Projection'!B61</f>
        <v>SKU PROD C</v>
      </c>
      <c r="C61" s="2" t="n">
        <f aca="false">'Demand Projection'!C61</f>
        <v>46147</v>
      </c>
      <c r="D61" s="0" t="n">
        <f aca="false">'Demand Projection'!D61</f>
        <v>904</v>
      </c>
      <c r="E61" s="0" t="n">
        <f aca="false">SUMIFS('Demand Projection'!$D$2:$D$169,'Demand Projection'!$B$2:$B$169,B61,'Demand Projection'!$C$2:$C$169,"&gt;="&amp;C61,'Demand Projection'!$C$2:$C$169,"&lt;="&amp;C61+5)</f>
        <v>1406</v>
      </c>
      <c r="F61" s="0" t="n">
        <f aca="false">SUMIFS($I$2:I60,$B$2:B60,B61,$J$2:J60,"&lt;="&amp;C61)</f>
        <v>8991</v>
      </c>
      <c r="G61" s="0" t="n">
        <f aca="false">SUMIFS($D$2:D61,$B$2:B61,B61)</f>
        <v>10058</v>
      </c>
      <c r="H61" s="0" t="n">
        <f aca="false">VLOOKUP(B61,Warehouse!$B$2:$D$6,3,FALSE())+F61-G61</f>
        <v>633</v>
      </c>
      <c r="I61" s="0" t="n">
        <f aca="false">IF(H61&lt;VLOOKUP(B61,Capacity!$D$3:$F$7,2,FALSE()),VLOOKUP(B61,Capacity!$D$3:$F$7,3,FALSE())-H61,0)</f>
        <v>0</v>
      </c>
      <c r="J61" s="2" t="str">
        <f aca="false">IF(I61&gt;0,C61+3,"")</f>
        <v/>
      </c>
      <c r="K61" s="0" t="str">
        <f aca="false">IF(I61&gt;0,MAX($K$2:K60)+1,"")</f>
        <v/>
      </c>
    </row>
    <row r="62" customFormat="false" ht="15" hidden="false" customHeight="false" outlineLevel="0" collapsed="false">
      <c r="A62" s="0" t="n">
        <f aca="false">'Demand Projection'!A62</f>
        <v>61</v>
      </c>
      <c r="B62" s="0" t="str">
        <f aca="false">'Demand Projection'!B62</f>
        <v>SKU PROD D</v>
      </c>
      <c r="C62" s="2" t="n">
        <f aca="false">'Demand Projection'!C62</f>
        <v>46148</v>
      </c>
      <c r="D62" s="0" t="n">
        <f aca="false">'Demand Projection'!D62</f>
        <v>603</v>
      </c>
      <c r="E62" s="0" t="n">
        <f aca="false">SUMIFS('Demand Projection'!$D$2:$D$169,'Demand Projection'!$B$2:$B$169,B62,'Demand Projection'!$C$2:$C$169,"&gt;="&amp;C62,'Demand Projection'!$C$2:$C$169,"&lt;="&amp;C62+5)</f>
        <v>603</v>
      </c>
      <c r="F62" s="0" t="n">
        <f aca="false">SUMIFS($I$2:I61,$B$2:B61,B62,$J$2:J61,"&lt;="&amp;C62)</f>
        <v>18843</v>
      </c>
      <c r="G62" s="0" t="n">
        <f aca="false">SUMIFS($D$2:D62,$B$2:B62,B62)</f>
        <v>19414</v>
      </c>
      <c r="H62" s="0" t="n">
        <f aca="false">VLOOKUP(B62,Warehouse!$B$2:$D$6,3,FALSE())+F62-G62</f>
        <v>2929</v>
      </c>
      <c r="I62" s="0" t="n">
        <f aca="false">IF(H62&lt;VLOOKUP(B62,Capacity!$D$3:$F$7,2,FALSE()),VLOOKUP(B62,Capacity!$D$3:$F$7,3,FALSE())-H62,0)</f>
        <v>0</v>
      </c>
      <c r="J62" s="2" t="str">
        <f aca="false">IF(I62&gt;0,C62+3,"")</f>
        <v/>
      </c>
      <c r="K62" s="0" t="str">
        <f aca="false">IF(I62&gt;0,MAX($K$2:K61)+1,"")</f>
        <v/>
      </c>
    </row>
    <row r="63" customFormat="false" ht="15" hidden="false" customHeight="false" outlineLevel="0" collapsed="false">
      <c r="A63" s="0" t="n">
        <f aca="false">'Demand Projection'!A63</f>
        <v>62</v>
      </c>
      <c r="B63" s="0" t="str">
        <f aca="false">'Demand Projection'!B63</f>
        <v>SKU PROD A</v>
      </c>
      <c r="C63" s="2" t="n">
        <f aca="false">'Demand Projection'!C63</f>
        <v>46149</v>
      </c>
      <c r="D63" s="0" t="n">
        <f aca="false">'Demand Projection'!D63</f>
        <v>1003</v>
      </c>
      <c r="E63" s="0" t="n">
        <f aca="false">SUMIFS('Demand Projection'!$D$2:$D$169,'Demand Projection'!$B$2:$B$169,B63,'Demand Projection'!$C$2:$C$169,"&gt;="&amp;C63,'Demand Projection'!$C$2:$C$169,"&lt;="&amp;C63+5)</f>
        <v>1003</v>
      </c>
      <c r="F63" s="0" t="n">
        <f aca="false">SUMIFS($I$2:I62,$B$2:B62,B63,$J$2:J62,"&lt;="&amp;C63)</f>
        <v>14614</v>
      </c>
      <c r="G63" s="0" t="n">
        <f aca="false">SUMIFS($D$2:D63,$B$2:B63,B63)</f>
        <v>16536</v>
      </c>
      <c r="H63" s="0" t="n">
        <f aca="false">VLOOKUP(B63,Warehouse!$B$2:$D$6,3,FALSE())+F63-G63</f>
        <v>278</v>
      </c>
      <c r="I63" s="0" t="n">
        <f aca="false">IF(H63&lt;VLOOKUP(B63,Capacity!$D$3:$F$7,2,FALSE()),VLOOKUP(B63,Capacity!$D$3:$F$7,3,FALSE())-H63,0)</f>
        <v>2354</v>
      </c>
      <c r="J63" s="2" t="n">
        <f aca="false">IF(I63&gt;0,C63+3,"")</f>
        <v>46152</v>
      </c>
      <c r="K63" s="0" t="n">
        <f aca="false">IF(I63&gt;0,MAX($K$2:K62)+1,"")</f>
        <v>25</v>
      </c>
    </row>
    <row r="64" customFormat="false" ht="15" hidden="false" customHeight="false" outlineLevel="0" collapsed="false">
      <c r="A64" s="0" t="n">
        <f aca="false">'Demand Projection'!A64</f>
        <v>63</v>
      </c>
      <c r="B64" s="0" t="str">
        <f aca="false">'Demand Projection'!B64</f>
        <v>SKU PROD C</v>
      </c>
      <c r="C64" s="2" t="n">
        <f aca="false">'Demand Projection'!C64</f>
        <v>46151</v>
      </c>
      <c r="D64" s="0" t="n">
        <f aca="false">'Demand Projection'!D64</f>
        <v>502</v>
      </c>
      <c r="E64" s="0" t="n">
        <f aca="false">SUMIFS('Demand Projection'!$D$2:$D$169,'Demand Projection'!$B$2:$B$169,B64,'Demand Projection'!$C$2:$C$169,"&gt;="&amp;C64,'Demand Projection'!$C$2:$C$169,"&lt;="&amp;C64+5)</f>
        <v>502</v>
      </c>
      <c r="F64" s="0" t="n">
        <f aca="false">SUMIFS($I$2:I63,$B$2:B63,B64,$J$2:J63,"&lt;="&amp;C64)</f>
        <v>8991</v>
      </c>
      <c r="G64" s="0" t="n">
        <f aca="false">SUMIFS($D$2:D64,$B$2:B64,B64)</f>
        <v>10560</v>
      </c>
      <c r="H64" s="0" t="n">
        <f aca="false">VLOOKUP(B64,Warehouse!$B$2:$D$6,3,FALSE())+F64-G64</f>
        <v>131</v>
      </c>
      <c r="I64" s="0" t="n">
        <f aca="false">IF(H64&lt;VLOOKUP(B64,Capacity!$D$3:$F$7,2,FALSE()),VLOOKUP(B64,Capacity!$D$3:$F$7,3,FALSE())-H64,0)</f>
        <v>1406</v>
      </c>
      <c r="J64" s="2" t="n">
        <f aca="false">IF(I64&gt;0,C64+3,"")</f>
        <v>46154</v>
      </c>
      <c r="K64" s="0" t="n">
        <f aca="false">IF(I64&gt;0,MAX($K$2:K63)+1,"")</f>
        <v>26</v>
      </c>
    </row>
    <row r="65" customFormat="false" ht="15" hidden="false" customHeight="false" outlineLevel="0" collapsed="false">
      <c r="A65" s="0" t="n">
        <f aca="false">'Demand Projection'!A65</f>
        <v>64</v>
      </c>
      <c r="B65" s="0" t="str">
        <f aca="false">'Demand Projection'!B65</f>
        <v>SKU PROD E</v>
      </c>
      <c r="C65" s="2" t="n">
        <f aca="false">'Demand Projection'!C65</f>
        <v>46154</v>
      </c>
      <c r="D65" s="0" t="n">
        <f aca="false">'Demand Projection'!D65</f>
        <v>402</v>
      </c>
      <c r="E65" s="0" t="n">
        <f aca="false">SUMIFS('Demand Projection'!$D$2:$D$169,'Demand Projection'!$B$2:$B$169,B65,'Demand Projection'!$C$2:$C$169,"&gt;="&amp;C65,'Demand Projection'!$C$2:$C$169,"&lt;="&amp;C65+5)</f>
        <v>402</v>
      </c>
      <c r="F65" s="0" t="n">
        <f aca="false">SUMIFS($I$2:I64,$B$2:B64,B65,$J$2:J64,"&lt;="&amp;C65)</f>
        <v>10119</v>
      </c>
      <c r="G65" s="0" t="n">
        <f aca="false">SUMIFS($D$2:D65,$B$2:B65,B65)</f>
        <v>10464</v>
      </c>
      <c r="H65" s="0" t="n">
        <f aca="false">VLOOKUP(B65,Warehouse!$B$2:$D$6,3,FALSE())+F65-G65</f>
        <v>1955</v>
      </c>
      <c r="I65" s="0" t="n">
        <f aca="false">IF(H65&lt;VLOOKUP(B65,Capacity!$D$3:$F$7,2,FALSE()),VLOOKUP(B65,Capacity!$D$3:$F$7,3,FALSE())-H65,0)</f>
        <v>0</v>
      </c>
      <c r="J65" s="2" t="str">
        <f aca="false">IF(I65&gt;0,C65+3,"")</f>
        <v/>
      </c>
      <c r="K65" s="0" t="str">
        <f aca="false">IF(I65&gt;0,MAX($K$2:K64)+1,"")</f>
        <v/>
      </c>
    </row>
    <row r="66" customFormat="false" ht="15" hidden="false" customHeight="false" outlineLevel="0" collapsed="false">
      <c r="A66" s="0" t="n">
        <f aca="false">'Demand Projection'!A66</f>
        <v>65</v>
      </c>
      <c r="B66" s="0" t="str">
        <f aca="false">'Demand Projection'!B66</f>
        <v>SKU PROD B</v>
      </c>
      <c r="C66" s="2" t="n">
        <f aca="false">'Demand Projection'!C66</f>
        <v>46155</v>
      </c>
      <c r="D66" s="0" t="n">
        <f aca="false">'Demand Projection'!D66</f>
        <v>603</v>
      </c>
      <c r="E66" s="0" t="n">
        <f aca="false">SUMIFS('Demand Projection'!$D$2:$D$169,'Demand Projection'!$B$2:$B$169,B66,'Demand Projection'!$C$2:$C$169,"&gt;="&amp;C66,'Demand Projection'!$C$2:$C$169,"&lt;="&amp;C66+5)</f>
        <v>603</v>
      </c>
      <c r="F66" s="0" t="n">
        <f aca="false">SUMIFS($I$2:I65,$B$2:B65,B66,$J$2:J65,"&lt;="&amp;C66)</f>
        <v>31868</v>
      </c>
      <c r="G66" s="0" t="n">
        <f aca="false">SUMIFS($D$2:D66,$B$2:B66,B66)</f>
        <v>33901</v>
      </c>
      <c r="H66" s="0" t="n">
        <f aca="false">VLOOKUP(B66,Warehouse!$B$2:$D$6,3,FALSE())+F66-G66</f>
        <v>5967</v>
      </c>
      <c r="I66" s="0" t="n">
        <f aca="false">IF(H66&lt;VLOOKUP(B66,Capacity!$D$3:$F$7,2,FALSE()),VLOOKUP(B66,Capacity!$D$3:$F$7,3,FALSE())-H66,0)</f>
        <v>0</v>
      </c>
      <c r="J66" s="2" t="str">
        <f aca="false">IF(I66&gt;0,C66+3,"")</f>
        <v/>
      </c>
      <c r="K66" s="0" t="str">
        <f aca="false">IF(I66&gt;0,MAX($K$2:K65)+1,"")</f>
        <v/>
      </c>
    </row>
    <row r="67" customFormat="false" ht="15" hidden="false" customHeight="false" outlineLevel="0" collapsed="false">
      <c r="A67" s="0" t="n">
        <f aca="false">'Demand Projection'!A67</f>
        <v>66</v>
      </c>
      <c r="B67" s="0" t="str">
        <f aca="false">'Demand Projection'!B67</f>
        <v>SKU PROD D</v>
      </c>
      <c r="C67" s="2" t="n">
        <f aca="false">'Demand Projection'!C67</f>
        <v>46159</v>
      </c>
      <c r="D67" s="0" t="n">
        <f aca="false">'Demand Projection'!D67</f>
        <v>857</v>
      </c>
      <c r="E67" s="0" t="n">
        <f aca="false">SUMIFS('Demand Projection'!$D$2:$D$169,'Demand Projection'!$B$2:$B$169,B67,'Demand Projection'!$C$2:$C$169,"&gt;="&amp;C67,'Demand Projection'!$C$2:$C$169,"&lt;="&amp;C67+5)</f>
        <v>857</v>
      </c>
      <c r="F67" s="0" t="n">
        <f aca="false">SUMIFS($I$2:I66,$B$2:B66,B67,$J$2:J66,"&lt;="&amp;C67)</f>
        <v>18843</v>
      </c>
      <c r="G67" s="0" t="n">
        <f aca="false">SUMIFS($D$2:D67,$B$2:B67,B67)</f>
        <v>20271</v>
      </c>
      <c r="H67" s="0" t="n">
        <f aca="false">VLOOKUP(B67,Warehouse!$B$2:$D$6,3,FALSE())+F67-G67</f>
        <v>2072</v>
      </c>
      <c r="I67" s="0" t="n">
        <f aca="false">IF(H67&lt;VLOOKUP(B67,Capacity!$D$3:$F$7,2,FALSE()),VLOOKUP(B67,Capacity!$D$3:$F$7,3,FALSE())-H67,0)</f>
        <v>0</v>
      </c>
      <c r="J67" s="2" t="str">
        <f aca="false">IF(I67&gt;0,C67+3,"")</f>
        <v/>
      </c>
      <c r="K67" s="0" t="str">
        <f aca="false">IF(I67&gt;0,MAX($K$2:K66)+1,"")</f>
        <v/>
      </c>
    </row>
    <row r="68" customFormat="false" ht="15" hidden="false" customHeight="false" outlineLevel="0" collapsed="false">
      <c r="A68" s="0" t="n">
        <f aca="false">'Demand Projection'!A68</f>
        <v>67</v>
      </c>
      <c r="B68" s="0" t="str">
        <f aca="false">'Demand Projection'!B68</f>
        <v>SKU PROD C</v>
      </c>
      <c r="C68" s="2" t="n">
        <f aca="false">'Demand Projection'!C68</f>
        <v>46162</v>
      </c>
      <c r="D68" s="0" t="n">
        <f aca="false">'Demand Projection'!D68</f>
        <v>789</v>
      </c>
      <c r="E68" s="0" t="n">
        <f aca="false">SUMIFS('Demand Projection'!$D$2:$D$169,'Demand Projection'!$B$2:$B$169,B68,'Demand Projection'!$C$2:$C$169,"&gt;="&amp;C68,'Demand Projection'!$C$2:$C$169,"&lt;="&amp;C68+5)</f>
        <v>789</v>
      </c>
      <c r="F68" s="0" t="n">
        <f aca="false">SUMIFS($I$2:I67,$B$2:B67,B68,$J$2:J67,"&lt;="&amp;C68)</f>
        <v>10397</v>
      </c>
      <c r="G68" s="0" t="n">
        <f aca="false">SUMIFS($D$2:D68,$B$2:B68,B68)</f>
        <v>11349</v>
      </c>
      <c r="H68" s="0" t="n">
        <f aca="false">VLOOKUP(B68,Warehouse!$B$2:$D$6,3,FALSE())+F68-G68</f>
        <v>748</v>
      </c>
      <c r="I68" s="0" t="n">
        <f aca="false">IF(H68&lt;VLOOKUP(B68,Capacity!$D$3:$F$7,2,FALSE()),VLOOKUP(B68,Capacity!$D$3:$F$7,3,FALSE())-H68,0)</f>
        <v>0</v>
      </c>
      <c r="J68" s="2" t="str">
        <f aca="false">IF(I68&gt;0,C68+3,"")</f>
        <v/>
      </c>
      <c r="K68" s="0" t="str">
        <f aca="false">IF(I68&gt;0,MAX($K$2:K67)+1,"")</f>
        <v/>
      </c>
    </row>
    <row r="69" customFormat="false" ht="15" hidden="false" customHeight="false" outlineLevel="0" collapsed="false">
      <c r="A69" s="0" t="n">
        <f aca="false">'Demand Projection'!A69</f>
        <v>68</v>
      </c>
      <c r="B69" s="0" t="str">
        <f aca="false">'Demand Projection'!B69</f>
        <v>SKU PROD A</v>
      </c>
      <c r="C69" s="2" t="n">
        <f aca="false">'Demand Projection'!C69</f>
        <v>46166</v>
      </c>
      <c r="D69" s="0" t="n">
        <f aca="false">'Demand Projection'!D69</f>
        <v>1090</v>
      </c>
      <c r="E69" s="0" t="n">
        <f aca="false">SUMIFS('Demand Projection'!$D$2:$D$169,'Demand Projection'!$B$2:$B$169,B69,'Demand Projection'!$C$2:$C$169,"&gt;="&amp;C69,'Demand Projection'!$C$2:$C$169,"&lt;="&amp;C69+5)</f>
        <v>1090</v>
      </c>
      <c r="F69" s="0" t="n">
        <f aca="false">SUMIFS($I$2:I68,$B$2:B68,B69,$J$2:J68,"&lt;="&amp;C69)</f>
        <v>16968</v>
      </c>
      <c r="G69" s="0" t="n">
        <f aca="false">SUMIFS($D$2:D69,$B$2:B69,B69)</f>
        <v>17626</v>
      </c>
      <c r="H69" s="0" t="n">
        <f aca="false">VLOOKUP(B69,Warehouse!$B$2:$D$6,3,FALSE())+F69-G69</f>
        <v>1542</v>
      </c>
      <c r="I69" s="0" t="n">
        <f aca="false">IF(H69&lt;VLOOKUP(B69,Capacity!$D$3:$F$7,2,FALSE()),VLOOKUP(B69,Capacity!$D$3:$F$7,3,FALSE())-H69,0)</f>
        <v>0</v>
      </c>
      <c r="J69" s="2" t="str">
        <f aca="false">IF(I69&gt;0,C69+3,"")</f>
        <v/>
      </c>
      <c r="K69" s="0" t="str">
        <f aca="false">IF(I69&gt;0,MAX($K$2:K68)+1,"")</f>
        <v/>
      </c>
    </row>
    <row r="70" customFormat="false" ht="15" hidden="false" customHeight="false" outlineLevel="0" collapsed="false">
      <c r="A70" s="0" t="n">
        <f aca="false">'Demand Projection'!A70</f>
        <v>69</v>
      </c>
      <c r="B70" s="0" t="str">
        <f aca="false">'Demand Projection'!B70</f>
        <v>SKU PROD D</v>
      </c>
      <c r="C70" s="2" t="n">
        <f aca="false">'Demand Projection'!C70</f>
        <v>46170</v>
      </c>
      <c r="D70" s="0" t="n">
        <f aca="false">'Demand Projection'!D70</f>
        <v>3267</v>
      </c>
      <c r="E70" s="0" t="n">
        <f aca="false">SUMIFS('Demand Projection'!$D$2:$D$169,'Demand Projection'!$B$2:$B$169,B70,'Demand Projection'!$C$2:$C$169,"&gt;="&amp;C70,'Demand Projection'!$C$2:$C$169,"&lt;="&amp;C70+5)</f>
        <v>3267</v>
      </c>
      <c r="F70" s="0" t="n">
        <f aca="false">SUMIFS($I$2:I69,$B$2:B69,B70,$J$2:J69,"&lt;="&amp;C70)</f>
        <v>18843</v>
      </c>
      <c r="G70" s="0" t="n">
        <f aca="false">SUMIFS($D$2:D70,$B$2:B70,B70)</f>
        <v>23538</v>
      </c>
      <c r="H70" s="0" t="n">
        <f aca="false">VLOOKUP(B70,Warehouse!$B$2:$D$6,3,FALSE())+F70-G70</f>
        <v>-1195</v>
      </c>
      <c r="I70" s="0" t="n">
        <f aca="false">IF(H70&lt;VLOOKUP(B70,Capacity!$D$3:$F$7,2,FALSE()),VLOOKUP(B70,Capacity!$D$3:$F$7,3,FALSE())-H70,0)</f>
        <v>4727</v>
      </c>
      <c r="J70" s="2" t="n">
        <f aca="false">IF(I70&gt;0,C70+3,"")</f>
        <v>46173</v>
      </c>
      <c r="K70" s="0" t="n">
        <f aca="false">IF(I70&gt;0,MAX($K$2:K69)+1,"")</f>
        <v>27</v>
      </c>
    </row>
    <row r="71" customFormat="false" ht="15" hidden="false" customHeight="false" outlineLevel="0" collapsed="false">
      <c r="A71" s="0" t="n">
        <f aca="false">'Demand Projection'!A71</f>
        <v>70</v>
      </c>
      <c r="B71" s="0" t="str">
        <f aca="false">'Demand Projection'!B71</f>
        <v>SKU PROD E</v>
      </c>
      <c r="C71" s="2" t="n">
        <f aca="false">'Demand Projection'!C71</f>
        <v>46170</v>
      </c>
      <c r="D71" s="0" t="n">
        <f aca="false">'Demand Projection'!D71</f>
        <v>2178</v>
      </c>
      <c r="E71" s="0" t="n">
        <f aca="false">SUMIFS('Demand Projection'!$D$2:$D$169,'Demand Projection'!$B$2:$B$169,B71,'Demand Projection'!$C$2:$C$169,"&gt;="&amp;C71,'Demand Projection'!$C$2:$C$169,"&lt;="&amp;C71+5)</f>
        <v>2178</v>
      </c>
      <c r="F71" s="0" t="n">
        <f aca="false">SUMIFS($I$2:I70,$B$2:B70,B71,$J$2:J70,"&lt;="&amp;C71)</f>
        <v>10119</v>
      </c>
      <c r="G71" s="0" t="n">
        <f aca="false">SUMIFS($D$2:D71,$B$2:B71,B71)</f>
        <v>12642</v>
      </c>
      <c r="H71" s="0" t="n">
        <f aca="false">VLOOKUP(B71,Warehouse!$B$2:$D$6,3,FALSE())+F71-G71</f>
        <v>-223</v>
      </c>
      <c r="I71" s="0" t="n">
        <f aca="false">IF(H71&lt;VLOOKUP(B71,Capacity!$D$3:$F$7,2,FALSE()),VLOOKUP(B71,Capacity!$D$3:$F$7,3,FALSE())-H71,0)</f>
        <v>2580</v>
      </c>
      <c r="J71" s="2" t="n">
        <f aca="false">IF(I71&gt;0,C71+3,"")</f>
        <v>46173</v>
      </c>
      <c r="K71" s="0" t="n">
        <f aca="false">IF(I71&gt;0,MAX($K$2:K70)+1,"")</f>
        <v>28</v>
      </c>
    </row>
    <row r="72" customFormat="false" ht="15" hidden="false" customHeight="false" outlineLevel="0" collapsed="false">
      <c r="A72" s="0" t="n">
        <f aca="false">'Demand Projection'!A72</f>
        <v>71</v>
      </c>
      <c r="B72" s="0" t="str">
        <f aca="false">'Demand Projection'!B72</f>
        <v>SKU PROD A</v>
      </c>
      <c r="C72" s="2" t="n">
        <f aca="false">'Demand Projection'!C72</f>
        <v>46176</v>
      </c>
      <c r="D72" s="0" t="n">
        <f aca="false">'Demand Projection'!D72</f>
        <v>953</v>
      </c>
      <c r="E72" s="0" t="n">
        <f aca="false">SUMIFS('Demand Projection'!$D$2:$D$169,'Demand Projection'!$B$2:$B$169,B72,'Demand Projection'!$C$2:$C$169,"&gt;="&amp;C72,'Demand Projection'!$C$2:$C$169,"&lt;="&amp;C72+5)</f>
        <v>2288</v>
      </c>
      <c r="F72" s="0" t="n">
        <f aca="false">SUMIFS($I$2:I71,$B$2:B71,B72,$J$2:J71,"&lt;="&amp;C72)</f>
        <v>16968</v>
      </c>
      <c r="G72" s="0" t="n">
        <f aca="false">SUMIFS($D$2:D72,$B$2:B72,B72)</f>
        <v>18579</v>
      </c>
      <c r="H72" s="0" t="n">
        <f aca="false">VLOOKUP(B72,Warehouse!$B$2:$D$6,3,FALSE())+F72-G72</f>
        <v>589</v>
      </c>
      <c r="I72" s="0" t="n">
        <f aca="false">IF(H72&lt;VLOOKUP(B72,Capacity!$D$3:$F$7,2,FALSE()),VLOOKUP(B72,Capacity!$D$3:$F$7,3,FALSE())-H72,0)</f>
        <v>2043</v>
      </c>
      <c r="J72" s="2" t="n">
        <f aca="false">IF(I72&gt;0,C72+3,"")</f>
        <v>46179</v>
      </c>
      <c r="K72" s="0" t="n">
        <f aca="false">IF(I72&gt;0,MAX($K$2:K71)+1,"")</f>
        <v>29</v>
      </c>
    </row>
    <row r="73" customFormat="false" ht="15" hidden="false" customHeight="false" outlineLevel="0" collapsed="false">
      <c r="A73" s="0" t="n">
        <f aca="false">'Demand Projection'!A73</f>
        <v>72</v>
      </c>
      <c r="B73" s="0" t="str">
        <f aca="false">'Demand Projection'!B73</f>
        <v>SKU PROD B</v>
      </c>
      <c r="C73" s="2" t="n">
        <f aca="false">'Demand Projection'!C73</f>
        <v>46176</v>
      </c>
      <c r="D73" s="0" t="n">
        <f aca="false">'Demand Projection'!D73</f>
        <v>5713</v>
      </c>
      <c r="E73" s="0" t="n">
        <f aca="false">SUMIFS('Demand Projection'!$D$2:$D$169,'Demand Projection'!$B$2:$B$169,B73,'Demand Projection'!$C$2:$C$169,"&gt;="&amp;C73,'Demand Projection'!$C$2:$C$169,"&lt;="&amp;C73+5)</f>
        <v>5713</v>
      </c>
      <c r="F73" s="0" t="n">
        <f aca="false">SUMIFS($I$2:I72,$B$2:B72,B73,$J$2:J72,"&lt;="&amp;C73)</f>
        <v>31868</v>
      </c>
      <c r="G73" s="0" t="n">
        <f aca="false">SUMIFS($D$2:D73,$B$2:B73,B73)</f>
        <v>39614</v>
      </c>
      <c r="H73" s="0" t="n">
        <f aca="false">VLOOKUP(B73,Warehouse!$B$2:$D$6,3,FALSE())+F73-G73</f>
        <v>254</v>
      </c>
      <c r="I73" s="0" t="n">
        <f aca="false">IF(H73&lt;VLOOKUP(B73,Capacity!$D$3:$F$7,2,FALSE()),VLOOKUP(B73,Capacity!$D$3:$F$7,3,FALSE())-H73,0)</f>
        <v>6316</v>
      </c>
      <c r="J73" s="2" t="n">
        <f aca="false">IF(I73&gt;0,C73+3,"")</f>
        <v>46179</v>
      </c>
      <c r="K73" s="0" t="n">
        <f aca="false">IF(I73&gt;0,MAX($K$2:K72)+1,"")</f>
        <v>30</v>
      </c>
    </row>
    <row r="74" customFormat="false" ht="15" hidden="false" customHeight="false" outlineLevel="0" collapsed="false">
      <c r="A74" s="0" t="n">
        <f aca="false">'Demand Projection'!A74</f>
        <v>73</v>
      </c>
      <c r="B74" s="0" t="str">
        <f aca="false">'Demand Projection'!B74</f>
        <v>SKU PROD A</v>
      </c>
      <c r="C74" s="2" t="n">
        <f aca="false">'Demand Projection'!C74</f>
        <v>46177</v>
      </c>
      <c r="D74" s="0" t="n">
        <f aca="false">'Demand Projection'!D74</f>
        <v>382</v>
      </c>
      <c r="E74" s="0" t="n">
        <f aca="false">SUMIFS('Demand Projection'!$D$2:$D$169,'Demand Projection'!$B$2:$B$169,B74,'Demand Projection'!$C$2:$C$169,"&gt;="&amp;C74,'Demand Projection'!$C$2:$C$169,"&lt;="&amp;C74+5)</f>
        <v>1335</v>
      </c>
      <c r="F74" s="0" t="n">
        <f aca="false">SUMIFS($I$2:I73,$B$2:B73,B74,$J$2:J73,"&lt;="&amp;C74)</f>
        <v>16968</v>
      </c>
      <c r="G74" s="0" t="n">
        <f aca="false">SUMIFS($D$2:D74,$B$2:B74,B74)</f>
        <v>18961</v>
      </c>
      <c r="H74" s="0" t="n">
        <f aca="false">VLOOKUP(B74,Warehouse!$B$2:$D$6,3,FALSE())+F74-G74</f>
        <v>207</v>
      </c>
      <c r="I74" s="0" t="n">
        <f aca="false">IF(H74&lt;VLOOKUP(B74,Capacity!$D$3:$F$7,2,FALSE()),VLOOKUP(B74,Capacity!$D$3:$F$7,3,FALSE())-H74,0)</f>
        <v>2425</v>
      </c>
      <c r="J74" s="2" t="n">
        <f aca="false">IF(I74&gt;0,C74+3,"")</f>
        <v>46180</v>
      </c>
      <c r="K74" s="0" t="n">
        <f aca="false">IF(I74&gt;0,MAX($K$2:K73)+1,"")</f>
        <v>31</v>
      </c>
    </row>
    <row r="75" customFormat="false" ht="15" hidden="false" customHeight="false" outlineLevel="0" collapsed="false">
      <c r="A75" s="0" t="n">
        <f aca="false">'Demand Projection'!A75</f>
        <v>74</v>
      </c>
      <c r="B75" s="0" t="str">
        <f aca="false">'Demand Projection'!B75</f>
        <v>SKU PROD C</v>
      </c>
      <c r="C75" s="2" t="n">
        <f aca="false">'Demand Projection'!C75</f>
        <v>46178</v>
      </c>
      <c r="D75" s="0" t="n">
        <f aca="false">'Demand Projection'!D75</f>
        <v>859</v>
      </c>
      <c r="E75" s="0" t="n">
        <f aca="false">SUMIFS('Demand Projection'!$D$2:$D$169,'Demand Projection'!$B$2:$B$169,B75,'Demand Projection'!$C$2:$C$169,"&gt;="&amp;C75,'Demand Projection'!$C$2:$C$169,"&lt;="&amp;C75+5)</f>
        <v>1336</v>
      </c>
      <c r="F75" s="0" t="n">
        <f aca="false">SUMIFS($I$2:I74,$B$2:B74,B75,$J$2:J74,"&lt;="&amp;C75)</f>
        <v>10397</v>
      </c>
      <c r="G75" s="0" t="n">
        <f aca="false">SUMIFS($D$2:D75,$B$2:B75,B75)</f>
        <v>12208</v>
      </c>
      <c r="H75" s="0" t="n">
        <f aca="false">VLOOKUP(B75,Warehouse!$B$2:$D$6,3,FALSE())+F75-G75</f>
        <v>-111</v>
      </c>
      <c r="I75" s="0" t="n">
        <f aca="false">IF(H75&lt;VLOOKUP(B75,Capacity!$D$3:$F$7,2,FALSE()),VLOOKUP(B75,Capacity!$D$3:$F$7,3,FALSE())-H75,0)</f>
        <v>1648</v>
      </c>
      <c r="J75" s="2" t="n">
        <f aca="false">IF(I75&gt;0,C75+3,"")</f>
        <v>46181</v>
      </c>
      <c r="K75" s="0" t="n">
        <f aca="false">IF(I75&gt;0,MAX($K$2:K74)+1,"")</f>
        <v>32</v>
      </c>
    </row>
    <row r="76" customFormat="false" ht="15" hidden="false" customHeight="false" outlineLevel="0" collapsed="false">
      <c r="A76" s="0" t="n">
        <f aca="false">'Demand Projection'!A76</f>
        <v>75</v>
      </c>
      <c r="B76" s="0" t="str">
        <f aca="false">'Demand Projection'!B76</f>
        <v>SKU PROD D</v>
      </c>
      <c r="C76" s="2" t="n">
        <f aca="false">'Demand Projection'!C76</f>
        <v>46179</v>
      </c>
      <c r="D76" s="0" t="n">
        <f aca="false">'Demand Projection'!D76</f>
        <v>573</v>
      </c>
      <c r="E76" s="0" t="n">
        <f aca="false">SUMIFS('Demand Projection'!$D$2:$D$169,'Demand Projection'!$B$2:$B$169,B76,'Demand Projection'!$C$2:$C$169,"&gt;="&amp;C76,'Demand Projection'!$C$2:$C$169,"&lt;="&amp;C76+5)</f>
        <v>573</v>
      </c>
      <c r="F76" s="0" t="n">
        <f aca="false">SUMIFS($I$2:I75,$B$2:B75,B76,$J$2:J75,"&lt;="&amp;C76)</f>
        <v>23570</v>
      </c>
      <c r="G76" s="0" t="n">
        <f aca="false">SUMIFS($D$2:D76,$B$2:B76,B76)</f>
        <v>24111</v>
      </c>
      <c r="H76" s="0" t="n">
        <f aca="false">VLOOKUP(B76,Warehouse!$B$2:$D$6,3,FALSE())+F76-G76</f>
        <v>2959</v>
      </c>
      <c r="I76" s="0" t="n">
        <f aca="false">IF(H76&lt;VLOOKUP(B76,Capacity!$D$3:$F$7,2,FALSE()),VLOOKUP(B76,Capacity!$D$3:$F$7,3,FALSE())-H76,0)</f>
        <v>0</v>
      </c>
      <c r="J76" s="2" t="str">
        <f aca="false">IF(I76&gt;0,C76+3,"")</f>
        <v/>
      </c>
      <c r="K76" s="0" t="str">
        <f aca="false">IF(I76&gt;0,MAX($K$2:K75)+1,"")</f>
        <v/>
      </c>
    </row>
    <row r="77" customFormat="false" ht="15" hidden="false" customHeight="false" outlineLevel="0" collapsed="false">
      <c r="A77" s="0" t="n">
        <f aca="false">'Demand Projection'!A77</f>
        <v>76</v>
      </c>
      <c r="B77" s="0" t="str">
        <f aca="false">'Demand Projection'!B77</f>
        <v>SKU PROD A</v>
      </c>
      <c r="C77" s="2" t="n">
        <f aca="false">'Demand Projection'!C77</f>
        <v>46180</v>
      </c>
      <c r="D77" s="0" t="n">
        <f aca="false">'Demand Projection'!D77</f>
        <v>953</v>
      </c>
      <c r="E77" s="0" t="n">
        <f aca="false">SUMIFS('Demand Projection'!$D$2:$D$169,'Demand Projection'!$B$2:$B$169,B77,'Demand Projection'!$C$2:$C$169,"&gt;="&amp;C77,'Demand Projection'!$C$2:$C$169,"&lt;="&amp;C77+5)</f>
        <v>953</v>
      </c>
      <c r="F77" s="0" t="n">
        <f aca="false">SUMIFS($I$2:I76,$B$2:B76,B77,$J$2:J76,"&lt;="&amp;C77)</f>
        <v>21436</v>
      </c>
      <c r="G77" s="0" t="n">
        <f aca="false">SUMIFS($D$2:D77,$B$2:B77,B77)</f>
        <v>19914</v>
      </c>
      <c r="H77" s="0" t="n">
        <f aca="false">VLOOKUP(B77,Warehouse!$B$2:$D$6,3,FALSE())+F77-G77</f>
        <v>3722</v>
      </c>
      <c r="I77" s="0" t="n">
        <f aca="false">IF(H77&lt;VLOOKUP(B77,Capacity!$D$3:$F$7,2,FALSE()),VLOOKUP(B77,Capacity!$D$3:$F$7,3,FALSE())-H77,0)</f>
        <v>0</v>
      </c>
      <c r="J77" s="2" t="str">
        <f aca="false">IF(I77&gt;0,C77+3,"")</f>
        <v/>
      </c>
      <c r="K77" s="0" t="str">
        <f aca="false">IF(I77&gt;0,MAX($K$2:K76)+1,"")</f>
        <v/>
      </c>
    </row>
    <row r="78" customFormat="false" ht="15" hidden="false" customHeight="false" outlineLevel="0" collapsed="false">
      <c r="A78" s="0" t="n">
        <f aca="false">'Demand Projection'!A78</f>
        <v>77</v>
      </c>
      <c r="B78" s="0" t="str">
        <f aca="false">'Demand Projection'!B78</f>
        <v>SKU PROD C</v>
      </c>
      <c r="C78" s="2" t="n">
        <f aca="false">'Demand Projection'!C78</f>
        <v>46182</v>
      </c>
      <c r="D78" s="0" t="n">
        <f aca="false">'Demand Projection'!D78</f>
        <v>477</v>
      </c>
      <c r="E78" s="0" t="n">
        <f aca="false">SUMIFS('Demand Projection'!$D$2:$D$169,'Demand Projection'!$B$2:$B$169,B78,'Demand Projection'!$C$2:$C$169,"&gt;="&amp;C78,'Demand Projection'!$C$2:$C$169,"&lt;="&amp;C78+5)</f>
        <v>477</v>
      </c>
      <c r="F78" s="0" t="n">
        <f aca="false">SUMIFS($I$2:I77,$B$2:B77,B78,$J$2:J77,"&lt;="&amp;C78)</f>
        <v>12045</v>
      </c>
      <c r="G78" s="0" t="n">
        <f aca="false">SUMIFS($D$2:D78,$B$2:B78,B78)</f>
        <v>12685</v>
      </c>
      <c r="H78" s="0" t="n">
        <f aca="false">VLOOKUP(B78,Warehouse!$B$2:$D$6,3,FALSE())+F78-G78</f>
        <v>1060</v>
      </c>
      <c r="I78" s="0" t="n">
        <f aca="false">IF(H78&lt;VLOOKUP(B78,Capacity!$D$3:$F$7,2,FALSE()),VLOOKUP(B78,Capacity!$D$3:$F$7,3,FALSE())-H78,0)</f>
        <v>0</v>
      </c>
      <c r="J78" s="2" t="str">
        <f aca="false">IF(I78&gt;0,C78+3,"")</f>
        <v/>
      </c>
      <c r="K78" s="0" t="str">
        <f aca="false">IF(I78&gt;0,MAX($K$2:K77)+1,"")</f>
        <v/>
      </c>
    </row>
    <row r="79" customFormat="false" ht="15" hidden="false" customHeight="false" outlineLevel="0" collapsed="false">
      <c r="A79" s="0" t="n">
        <f aca="false">'Demand Projection'!A79</f>
        <v>78</v>
      </c>
      <c r="B79" s="0" t="str">
        <f aca="false">'Demand Projection'!B79</f>
        <v>SKU PROD E</v>
      </c>
      <c r="C79" s="2" t="n">
        <f aca="false">'Demand Projection'!C79</f>
        <v>46185</v>
      </c>
      <c r="D79" s="0" t="n">
        <f aca="false">'Demand Projection'!D79</f>
        <v>382</v>
      </c>
      <c r="E79" s="0" t="n">
        <f aca="false">SUMIFS('Demand Projection'!$D$2:$D$169,'Demand Projection'!$B$2:$B$169,B79,'Demand Projection'!$C$2:$C$169,"&gt;="&amp;C79,'Demand Projection'!$C$2:$C$169,"&lt;="&amp;C79+5)</f>
        <v>382</v>
      </c>
      <c r="F79" s="0" t="n">
        <f aca="false">SUMIFS($I$2:I78,$B$2:B78,B79,$J$2:J78,"&lt;="&amp;C79)</f>
        <v>12699</v>
      </c>
      <c r="G79" s="0" t="n">
        <f aca="false">SUMIFS($D$2:D79,$B$2:B79,B79)</f>
        <v>13024</v>
      </c>
      <c r="H79" s="0" t="n">
        <f aca="false">VLOOKUP(B79,Warehouse!$B$2:$D$6,3,FALSE())+F79-G79</f>
        <v>1975</v>
      </c>
      <c r="I79" s="0" t="n">
        <f aca="false">IF(H79&lt;VLOOKUP(B79,Capacity!$D$3:$F$7,2,FALSE()),VLOOKUP(B79,Capacity!$D$3:$F$7,3,FALSE())-H79,0)</f>
        <v>0</v>
      </c>
      <c r="J79" s="2" t="str">
        <f aca="false">IF(I79&gt;0,C79+3,"")</f>
        <v/>
      </c>
      <c r="K79" s="0" t="str">
        <f aca="false">IF(I79&gt;0,MAX($K$2:K78)+1,"")</f>
        <v/>
      </c>
    </row>
    <row r="80" customFormat="false" ht="15" hidden="false" customHeight="false" outlineLevel="0" collapsed="false">
      <c r="A80" s="0" t="n">
        <f aca="false">'Demand Projection'!A80</f>
        <v>79</v>
      </c>
      <c r="B80" s="0" t="str">
        <f aca="false">'Demand Projection'!B80</f>
        <v>SKU PROD B</v>
      </c>
      <c r="C80" s="2" t="n">
        <f aca="false">'Demand Projection'!C80</f>
        <v>46186</v>
      </c>
      <c r="D80" s="0" t="n">
        <f aca="false">'Demand Projection'!D80</f>
        <v>573</v>
      </c>
      <c r="E80" s="0" t="n">
        <f aca="false">SUMIFS('Demand Projection'!$D$2:$D$169,'Demand Projection'!$B$2:$B$169,B80,'Demand Projection'!$C$2:$C$169,"&gt;="&amp;C80,'Demand Projection'!$C$2:$C$169,"&lt;="&amp;C80+5)</f>
        <v>573</v>
      </c>
      <c r="F80" s="0" t="n">
        <f aca="false">SUMIFS($I$2:I79,$B$2:B79,B80,$J$2:J79,"&lt;="&amp;C80)</f>
        <v>38184</v>
      </c>
      <c r="G80" s="0" t="n">
        <f aca="false">SUMIFS($D$2:D80,$B$2:B80,B80)</f>
        <v>40187</v>
      </c>
      <c r="H80" s="0" t="n">
        <f aca="false">VLOOKUP(B80,Warehouse!$B$2:$D$6,3,FALSE())+F80-G80</f>
        <v>5997</v>
      </c>
      <c r="I80" s="0" t="n">
        <f aca="false">IF(H80&lt;VLOOKUP(B80,Capacity!$D$3:$F$7,2,FALSE()),VLOOKUP(B80,Capacity!$D$3:$F$7,3,FALSE())-H80,0)</f>
        <v>0</v>
      </c>
      <c r="J80" s="2" t="str">
        <f aca="false">IF(I80&gt;0,C80+3,"")</f>
        <v/>
      </c>
      <c r="K80" s="0" t="str">
        <f aca="false">IF(I80&gt;0,MAX($K$2:K79)+1,"")</f>
        <v/>
      </c>
    </row>
    <row r="81" customFormat="false" ht="15" hidden="false" customHeight="false" outlineLevel="0" collapsed="false">
      <c r="A81" s="0" t="n">
        <f aca="false">'Demand Projection'!A81</f>
        <v>80</v>
      </c>
      <c r="B81" s="0" t="str">
        <f aca="false">'Demand Projection'!B81</f>
        <v>SKU PROD D</v>
      </c>
      <c r="C81" s="2" t="n">
        <f aca="false">'Demand Projection'!C81</f>
        <v>46190</v>
      </c>
      <c r="D81" s="0" t="n">
        <f aca="false">'Demand Projection'!D81</f>
        <v>815</v>
      </c>
      <c r="E81" s="0" t="n">
        <f aca="false">SUMIFS('Demand Projection'!$D$2:$D$169,'Demand Projection'!$B$2:$B$169,B81,'Demand Projection'!$C$2:$C$169,"&gt;="&amp;C81,'Demand Projection'!$C$2:$C$169,"&lt;="&amp;C81+5)</f>
        <v>815</v>
      </c>
      <c r="F81" s="0" t="n">
        <f aca="false">SUMIFS($I$2:I80,$B$2:B80,B81,$J$2:J80,"&lt;="&amp;C81)</f>
        <v>23570</v>
      </c>
      <c r="G81" s="0" t="n">
        <f aca="false">SUMIFS($D$2:D81,$B$2:B81,B81)</f>
        <v>24926</v>
      </c>
      <c r="H81" s="0" t="n">
        <f aca="false">VLOOKUP(B81,Warehouse!$B$2:$D$6,3,FALSE())+F81-G81</f>
        <v>2144</v>
      </c>
      <c r="I81" s="0" t="n">
        <f aca="false">IF(H81&lt;VLOOKUP(B81,Capacity!$D$3:$F$7,2,FALSE()),VLOOKUP(B81,Capacity!$D$3:$F$7,3,FALSE())-H81,0)</f>
        <v>0</v>
      </c>
      <c r="J81" s="2" t="str">
        <f aca="false">IF(I81&gt;0,C81+3,"")</f>
        <v/>
      </c>
      <c r="K81" s="0" t="str">
        <f aca="false">IF(I81&gt;0,MAX($K$2:K80)+1,"")</f>
        <v/>
      </c>
    </row>
    <row r="82" customFormat="false" ht="15" hidden="false" customHeight="false" outlineLevel="0" collapsed="false">
      <c r="A82" s="0" t="n">
        <f aca="false">'Demand Projection'!A82</f>
        <v>81</v>
      </c>
      <c r="B82" s="0" t="str">
        <f aca="false">'Demand Projection'!B82</f>
        <v>SKU PROD C</v>
      </c>
      <c r="C82" s="2" t="n">
        <f aca="false">'Demand Projection'!C82</f>
        <v>46193</v>
      </c>
      <c r="D82" s="0" t="n">
        <f aca="false">'Demand Projection'!D82</f>
        <v>750</v>
      </c>
      <c r="E82" s="0" t="n">
        <f aca="false">SUMIFS('Demand Projection'!$D$2:$D$169,'Demand Projection'!$B$2:$B$169,B82,'Demand Projection'!$C$2:$C$169,"&gt;="&amp;C82,'Demand Projection'!$C$2:$C$169,"&lt;="&amp;C82+5)</f>
        <v>750</v>
      </c>
      <c r="F82" s="0" t="n">
        <f aca="false">SUMIFS($I$2:I81,$B$2:B81,B82,$J$2:J81,"&lt;="&amp;C82)</f>
        <v>12045</v>
      </c>
      <c r="G82" s="0" t="n">
        <f aca="false">SUMIFS($D$2:D82,$B$2:B82,B82)</f>
        <v>13435</v>
      </c>
      <c r="H82" s="0" t="n">
        <f aca="false">VLOOKUP(B82,Warehouse!$B$2:$D$6,3,FALSE())+F82-G82</f>
        <v>310</v>
      </c>
      <c r="I82" s="0" t="n">
        <f aca="false">IF(H82&lt;VLOOKUP(B82,Capacity!$D$3:$F$7,2,FALSE()),VLOOKUP(B82,Capacity!$D$3:$F$7,3,FALSE())-H82,0)</f>
        <v>1227</v>
      </c>
      <c r="J82" s="2" t="n">
        <f aca="false">IF(I82&gt;0,C82+3,"")</f>
        <v>46196</v>
      </c>
      <c r="K82" s="0" t="n">
        <f aca="false">IF(I82&gt;0,MAX($K$2:K81)+1,"")</f>
        <v>33</v>
      </c>
    </row>
    <row r="83" customFormat="false" ht="15" hidden="false" customHeight="false" outlineLevel="0" collapsed="false">
      <c r="A83" s="0" t="n">
        <f aca="false">'Demand Projection'!A83</f>
        <v>82</v>
      </c>
      <c r="B83" s="0" t="str">
        <f aca="false">'Demand Projection'!B83</f>
        <v>SKU PROD A</v>
      </c>
      <c r="C83" s="2" t="n">
        <f aca="false">'Demand Projection'!C83</f>
        <v>46197</v>
      </c>
      <c r="D83" s="0" t="n">
        <f aca="false">'Demand Projection'!D83</f>
        <v>1036</v>
      </c>
      <c r="E83" s="0" t="n">
        <f aca="false">SUMIFS('Demand Projection'!$D$2:$D$169,'Demand Projection'!$B$2:$B$169,B83,'Demand Projection'!$C$2:$C$169,"&gt;="&amp;C83,'Demand Projection'!$C$2:$C$169,"&lt;="&amp;C83+5)</f>
        <v>1036</v>
      </c>
      <c r="F83" s="0" t="n">
        <f aca="false">SUMIFS($I$2:I82,$B$2:B82,B83,$J$2:J82,"&lt;="&amp;C83)</f>
        <v>21436</v>
      </c>
      <c r="G83" s="0" t="n">
        <f aca="false">SUMIFS($D$2:D83,$B$2:B83,B83)</f>
        <v>20950</v>
      </c>
      <c r="H83" s="0" t="n">
        <f aca="false">VLOOKUP(B83,Warehouse!$B$2:$D$6,3,FALSE())+F83-G83</f>
        <v>2686</v>
      </c>
      <c r="I83" s="0" t="n">
        <f aca="false">IF(H83&lt;VLOOKUP(B83,Capacity!$D$3:$F$7,2,FALSE()),VLOOKUP(B83,Capacity!$D$3:$F$7,3,FALSE())-H83,0)</f>
        <v>0</v>
      </c>
      <c r="J83" s="2" t="str">
        <f aca="false">IF(I83&gt;0,C83+3,"")</f>
        <v/>
      </c>
      <c r="K83" s="0" t="str">
        <f aca="false">IF(I83&gt;0,MAX($K$2:K82)+1,"")</f>
        <v/>
      </c>
    </row>
    <row r="84" customFormat="false" ht="15" hidden="false" customHeight="false" outlineLevel="0" collapsed="false">
      <c r="A84" s="0" t="n">
        <f aca="false">'Demand Projection'!A84</f>
        <v>83</v>
      </c>
      <c r="B84" s="0" t="str">
        <f aca="false">'Demand Projection'!B84</f>
        <v>SKU PROD D</v>
      </c>
      <c r="C84" s="2" t="n">
        <f aca="false">'Demand Projection'!C84</f>
        <v>46201</v>
      </c>
      <c r="D84" s="0" t="n">
        <f aca="false">'Demand Projection'!D84</f>
        <v>3104</v>
      </c>
      <c r="E84" s="0" t="n">
        <f aca="false">SUMIFS('Demand Projection'!$D$2:$D$169,'Demand Projection'!$B$2:$B$169,B84,'Demand Projection'!$C$2:$C$169,"&gt;="&amp;C84,'Demand Projection'!$C$2:$C$169,"&lt;="&amp;C84+5)</f>
        <v>3104</v>
      </c>
      <c r="F84" s="0" t="n">
        <f aca="false">SUMIFS($I$2:I83,$B$2:B83,B84,$J$2:J83,"&lt;="&amp;C84)</f>
        <v>23570</v>
      </c>
      <c r="G84" s="0" t="n">
        <f aca="false">SUMIFS($D$2:D84,$B$2:B84,B84)</f>
        <v>28030</v>
      </c>
      <c r="H84" s="0" t="n">
        <f aca="false">VLOOKUP(B84,Warehouse!$B$2:$D$6,3,FALSE())+F84-G84</f>
        <v>-960</v>
      </c>
      <c r="I84" s="0" t="n">
        <f aca="false">IF(H84&lt;VLOOKUP(B84,Capacity!$D$3:$F$7,2,FALSE()),VLOOKUP(B84,Capacity!$D$3:$F$7,3,FALSE())-H84,0)</f>
        <v>4492</v>
      </c>
      <c r="J84" s="2" t="n">
        <f aca="false">IF(I84&gt;0,C84+3,"")</f>
        <v>46204</v>
      </c>
      <c r="K84" s="0" t="n">
        <f aca="false">IF(I84&gt;0,MAX($K$2:K83)+1,"")</f>
        <v>34</v>
      </c>
    </row>
    <row r="85" customFormat="false" ht="15" hidden="false" customHeight="false" outlineLevel="0" collapsed="false">
      <c r="A85" s="0" t="n">
        <f aca="false">'Demand Projection'!A85</f>
        <v>84</v>
      </c>
      <c r="B85" s="0" t="str">
        <f aca="false">'Demand Projection'!B85</f>
        <v>SKU PROD E</v>
      </c>
      <c r="C85" s="2" t="n">
        <f aca="false">'Demand Projection'!C85</f>
        <v>46201</v>
      </c>
      <c r="D85" s="0" t="n">
        <f aca="false">'Demand Projection'!D85</f>
        <v>2070</v>
      </c>
      <c r="E85" s="0" t="n">
        <f aca="false">SUMIFS('Demand Projection'!$D$2:$D$169,'Demand Projection'!$B$2:$B$169,B85,'Demand Projection'!$C$2:$C$169,"&gt;="&amp;C85,'Demand Projection'!$C$2:$C$169,"&lt;="&amp;C85+5)</f>
        <v>2070</v>
      </c>
      <c r="F85" s="0" t="n">
        <f aca="false">SUMIFS($I$2:I84,$B$2:B84,B85,$J$2:J84,"&lt;="&amp;C85)</f>
        <v>12699</v>
      </c>
      <c r="G85" s="0" t="n">
        <f aca="false">SUMIFS($D$2:D85,$B$2:B85,B85)</f>
        <v>15094</v>
      </c>
      <c r="H85" s="0" t="n">
        <f aca="false">VLOOKUP(B85,Warehouse!$B$2:$D$6,3,FALSE())+F85-G85</f>
        <v>-95</v>
      </c>
      <c r="I85" s="0" t="n">
        <f aca="false">IF(H85&lt;VLOOKUP(B85,Capacity!$D$3:$F$7,2,FALSE()),VLOOKUP(B85,Capacity!$D$3:$F$7,3,FALSE())-H85,0)</f>
        <v>2452</v>
      </c>
      <c r="J85" s="2" t="n">
        <f aca="false">IF(I85&gt;0,C85+3,"")</f>
        <v>46204</v>
      </c>
      <c r="K85" s="0" t="n">
        <f aca="false">IF(I85&gt;0,MAX($K$2:K84)+1,"")</f>
        <v>35</v>
      </c>
    </row>
    <row r="86" customFormat="false" ht="15" hidden="false" customHeight="false" outlineLevel="0" collapsed="false">
      <c r="A86" s="0" t="n">
        <f aca="false">'Demand Projection'!A86</f>
        <v>85</v>
      </c>
      <c r="B86" s="0" t="str">
        <f aca="false">'Demand Projection'!B86</f>
        <v>SKU PROD A</v>
      </c>
      <c r="C86" s="2" t="n">
        <f aca="false">'Demand Projection'!C86</f>
        <v>46206</v>
      </c>
      <c r="D86" s="0" t="n">
        <f aca="false">'Demand Projection'!D86</f>
        <v>1096</v>
      </c>
      <c r="E86" s="0" t="n">
        <f aca="false">SUMIFS('Demand Projection'!$D$2:$D$169,'Demand Projection'!$B$2:$B$169,B86,'Demand Projection'!$C$2:$C$169,"&gt;="&amp;C86,'Demand Projection'!$C$2:$C$169,"&lt;="&amp;C86+5)</f>
        <v>2632</v>
      </c>
      <c r="F86" s="0" t="n">
        <f aca="false">SUMIFS($I$2:I85,$B$2:B85,B86,$J$2:J85,"&lt;="&amp;C86)</f>
        <v>21436</v>
      </c>
      <c r="G86" s="0" t="n">
        <f aca="false">SUMIFS($D$2:D86,$B$2:B86,B86)</f>
        <v>22046</v>
      </c>
      <c r="H86" s="0" t="n">
        <f aca="false">VLOOKUP(B86,Warehouse!$B$2:$D$6,3,FALSE())+F86-G86</f>
        <v>1590</v>
      </c>
      <c r="I86" s="0" t="n">
        <f aca="false">IF(H86&lt;VLOOKUP(B86,Capacity!$D$3:$F$7,2,FALSE()),VLOOKUP(B86,Capacity!$D$3:$F$7,3,FALSE())-H86,0)</f>
        <v>0</v>
      </c>
      <c r="J86" s="2" t="str">
        <f aca="false">IF(I86&gt;0,C86+3,"")</f>
        <v/>
      </c>
      <c r="K86" s="0" t="str">
        <f aca="false">IF(I86&gt;0,MAX($K$2:K85)+1,"")</f>
        <v/>
      </c>
    </row>
    <row r="87" customFormat="false" ht="15" hidden="false" customHeight="false" outlineLevel="0" collapsed="false">
      <c r="A87" s="0" t="n">
        <f aca="false">'Demand Projection'!A87</f>
        <v>86</v>
      </c>
      <c r="B87" s="0" t="str">
        <f aca="false">'Demand Projection'!B87</f>
        <v>SKU PROD B</v>
      </c>
      <c r="C87" s="2" t="n">
        <f aca="false">'Demand Projection'!C87</f>
        <v>46206</v>
      </c>
      <c r="D87" s="0" t="n">
        <f aca="false">'Demand Projection'!D87</f>
        <v>6570</v>
      </c>
      <c r="E87" s="0" t="n">
        <f aca="false">SUMIFS('Demand Projection'!$D$2:$D$169,'Demand Projection'!$B$2:$B$169,B87,'Demand Projection'!$C$2:$C$169,"&gt;="&amp;C87,'Demand Projection'!$C$2:$C$169,"&lt;="&amp;C87+5)</f>
        <v>6570</v>
      </c>
      <c r="F87" s="0" t="n">
        <f aca="false">SUMIFS($I$2:I86,$B$2:B86,B87,$J$2:J86,"&lt;="&amp;C87)</f>
        <v>38184</v>
      </c>
      <c r="G87" s="0" t="n">
        <f aca="false">SUMIFS($D$2:D87,$B$2:B87,B87)</f>
        <v>46757</v>
      </c>
      <c r="H87" s="0" t="n">
        <f aca="false">VLOOKUP(B87,Warehouse!$B$2:$D$6,3,FALSE())+F87-G87</f>
        <v>-573</v>
      </c>
      <c r="I87" s="0" t="n">
        <f aca="false">IF(H87&lt;VLOOKUP(B87,Capacity!$D$3:$F$7,2,FALSE()),VLOOKUP(B87,Capacity!$D$3:$F$7,3,FALSE())-H87,0)</f>
        <v>7143</v>
      </c>
      <c r="J87" s="2" t="n">
        <f aca="false">IF(I87&gt;0,C87+3,"")</f>
        <v>46209</v>
      </c>
      <c r="K87" s="0" t="n">
        <f aca="false">IF(I87&gt;0,MAX($K$2:K86)+1,"")</f>
        <v>36</v>
      </c>
    </row>
    <row r="88" customFormat="false" ht="15" hidden="false" customHeight="false" outlineLevel="0" collapsed="false">
      <c r="A88" s="0" t="n">
        <f aca="false">'Demand Projection'!A88</f>
        <v>87</v>
      </c>
      <c r="B88" s="0" t="str">
        <f aca="false">'Demand Projection'!B88</f>
        <v>SKU PROD A</v>
      </c>
      <c r="C88" s="2" t="n">
        <f aca="false">'Demand Projection'!C88</f>
        <v>46207</v>
      </c>
      <c r="D88" s="0" t="n">
        <f aca="false">'Demand Projection'!D88</f>
        <v>440</v>
      </c>
      <c r="E88" s="0" t="n">
        <f aca="false">SUMIFS('Demand Projection'!$D$2:$D$169,'Demand Projection'!$B$2:$B$169,B88,'Demand Projection'!$C$2:$C$169,"&gt;="&amp;C88,'Demand Projection'!$C$2:$C$169,"&lt;="&amp;C88+5)</f>
        <v>1536</v>
      </c>
      <c r="F88" s="0" t="n">
        <f aca="false">SUMIFS($I$2:I87,$B$2:B87,B88,$J$2:J87,"&lt;="&amp;C88)</f>
        <v>21436</v>
      </c>
      <c r="G88" s="0" t="n">
        <f aca="false">SUMIFS($D$2:D88,$B$2:B88,B88)</f>
        <v>22486</v>
      </c>
      <c r="H88" s="0" t="n">
        <f aca="false">VLOOKUP(B88,Warehouse!$B$2:$D$6,3,FALSE())+F88-G88</f>
        <v>1150</v>
      </c>
      <c r="I88" s="0" t="n">
        <f aca="false">IF(H88&lt;VLOOKUP(B88,Capacity!$D$3:$F$7,2,FALSE()),VLOOKUP(B88,Capacity!$D$3:$F$7,3,FALSE())-H88,0)</f>
        <v>0</v>
      </c>
      <c r="J88" s="2" t="str">
        <f aca="false">IF(I88&gt;0,C88+3,"")</f>
        <v/>
      </c>
      <c r="K88" s="0" t="str">
        <f aca="false">IF(I88&gt;0,MAX($K$2:K87)+1,"")</f>
        <v/>
      </c>
    </row>
    <row r="89" customFormat="false" ht="15" hidden="false" customHeight="false" outlineLevel="0" collapsed="false">
      <c r="A89" s="0" t="n">
        <f aca="false">'Demand Projection'!A89</f>
        <v>88</v>
      </c>
      <c r="B89" s="0" t="str">
        <f aca="false">'Demand Projection'!B89</f>
        <v>SKU PROD C</v>
      </c>
      <c r="C89" s="2" t="n">
        <f aca="false">'Demand Projection'!C89</f>
        <v>46208</v>
      </c>
      <c r="D89" s="0" t="n">
        <f aca="false">'Demand Projection'!D89</f>
        <v>988</v>
      </c>
      <c r="E89" s="0" t="n">
        <f aca="false">SUMIFS('Demand Projection'!$D$2:$D$169,'Demand Projection'!$B$2:$B$169,B89,'Demand Projection'!$C$2:$C$169,"&gt;="&amp;C89,'Demand Projection'!$C$2:$C$169,"&lt;="&amp;C89+5)</f>
        <v>1537</v>
      </c>
      <c r="F89" s="0" t="n">
        <f aca="false">SUMIFS($I$2:I88,$B$2:B88,B89,$J$2:J88,"&lt;="&amp;C89)</f>
        <v>13272</v>
      </c>
      <c r="G89" s="0" t="n">
        <f aca="false">SUMIFS($D$2:D89,$B$2:B89,B89)</f>
        <v>14423</v>
      </c>
      <c r="H89" s="0" t="n">
        <f aca="false">VLOOKUP(B89,Warehouse!$B$2:$D$6,3,FALSE())+F89-G89</f>
        <v>549</v>
      </c>
      <c r="I89" s="0" t="n">
        <f aca="false">IF(H89&lt;VLOOKUP(B89,Capacity!$D$3:$F$7,2,FALSE()),VLOOKUP(B89,Capacity!$D$3:$F$7,3,FALSE())-H89,0)</f>
        <v>0</v>
      </c>
      <c r="J89" s="2" t="str">
        <f aca="false">IF(I89&gt;0,C89+3,"")</f>
        <v/>
      </c>
      <c r="K89" s="0" t="str">
        <f aca="false">IF(I89&gt;0,MAX($K$2:K88)+1,"")</f>
        <v/>
      </c>
    </row>
    <row r="90" customFormat="false" ht="15" hidden="false" customHeight="false" outlineLevel="0" collapsed="false">
      <c r="A90" s="0" t="n">
        <f aca="false">'Demand Projection'!A90</f>
        <v>89</v>
      </c>
      <c r="B90" s="0" t="str">
        <f aca="false">'Demand Projection'!B90</f>
        <v>SKU PROD D</v>
      </c>
      <c r="C90" s="2" t="n">
        <f aca="false">'Demand Projection'!C90</f>
        <v>46209</v>
      </c>
      <c r="D90" s="0" t="n">
        <f aca="false">'Demand Projection'!D90</f>
        <v>659</v>
      </c>
      <c r="E90" s="0" t="n">
        <f aca="false">SUMIFS('Demand Projection'!$D$2:$D$169,'Demand Projection'!$B$2:$B$169,B90,'Demand Projection'!$C$2:$C$169,"&gt;="&amp;C90,'Demand Projection'!$C$2:$C$169,"&lt;="&amp;C90+5)</f>
        <v>659</v>
      </c>
      <c r="F90" s="0" t="n">
        <f aca="false">SUMIFS($I$2:I89,$B$2:B89,B90,$J$2:J89,"&lt;="&amp;C90)</f>
        <v>28062</v>
      </c>
      <c r="G90" s="0" t="n">
        <f aca="false">SUMIFS($D$2:D90,$B$2:B90,B90)</f>
        <v>28689</v>
      </c>
      <c r="H90" s="0" t="n">
        <f aca="false">VLOOKUP(B90,Warehouse!$B$2:$D$6,3,FALSE())+F90-G90</f>
        <v>2873</v>
      </c>
      <c r="I90" s="0" t="n">
        <f aca="false">IF(H90&lt;VLOOKUP(B90,Capacity!$D$3:$F$7,2,FALSE()),VLOOKUP(B90,Capacity!$D$3:$F$7,3,FALSE())-H90,0)</f>
        <v>0</v>
      </c>
      <c r="J90" s="2" t="str">
        <f aca="false">IF(I90&gt;0,C90+3,"")</f>
        <v/>
      </c>
      <c r="K90" s="0" t="str">
        <f aca="false">IF(I90&gt;0,MAX($K$2:K89)+1,"")</f>
        <v/>
      </c>
    </row>
    <row r="91" customFormat="false" ht="15" hidden="false" customHeight="false" outlineLevel="0" collapsed="false">
      <c r="A91" s="0" t="n">
        <f aca="false">'Demand Projection'!A91</f>
        <v>90</v>
      </c>
      <c r="B91" s="0" t="str">
        <f aca="false">'Demand Projection'!B91</f>
        <v>SKU PROD A</v>
      </c>
      <c r="C91" s="2" t="n">
        <f aca="false">'Demand Projection'!C91</f>
        <v>46210</v>
      </c>
      <c r="D91" s="0" t="n">
        <f aca="false">'Demand Projection'!D91</f>
        <v>1096</v>
      </c>
      <c r="E91" s="0" t="n">
        <f aca="false">SUMIFS('Demand Projection'!$D$2:$D$169,'Demand Projection'!$B$2:$B$169,B91,'Demand Projection'!$C$2:$C$169,"&gt;="&amp;C91,'Demand Projection'!$C$2:$C$169,"&lt;="&amp;C91+5)</f>
        <v>1096</v>
      </c>
      <c r="F91" s="0" t="n">
        <f aca="false">SUMIFS($I$2:I90,$B$2:B90,B91,$J$2:J90,"&lt;="&amp;C91)</f>
        <v>21436</v>
      </c>
      <c r="G91" s="0" t="n">
        <f aca="false">SUMIFS($D$2:D91,$B$2:B91,B91)</f>
        <v>23582</v>
      </c>
      <c r="H91" s="0" t="n">
        <f aca="false">VLOOKUP(B91,Warehouse!$B$2:$D$6,3,FALSE())+F91-G91</f>
        <v>54</v>
      </c>
      <c r="I91" s="0" t="n">
        <f aca="false">IF(H91&lt;VLOOKUP(B91,Capacity!$D$3:$F$7,2,FALSE()),VLOOKUP(B91,Capacity!$D$3:$F$7,3,FALSE())-H91,0)</f>
        <v>2578</v>
      </c>
      <c r="J91" s="2" t="n">
        <f aca="false">IF(I91&gt;0,C91+3,"")</f>
        <v>46213</v>
      </c>
      <c r="K91" s="0" t="n">
        <f aca="false">IF(I91&gt;0,MAX($K$2:K90)+1,"")</f>
        <v>37</v>
      </c>
    </row>
    <row r="92" customFormat="false" ht="15" hidden="false" customHeight="false" outlineLevel="0" collapsed="false">
      <c r="A92" s="0" t="n">
        <f aca="false">'Demand Projection'!A92</f>
        <v>91</v>
      </c>
      <c r="B92" s="0" t="str">
        <f aca="false">'Demand Projection'!B92</f>
        <v>SKU PROD C</v>
      </c>
      <c r="C92" s="2" t="n">
        <f aca="false">'Demand Projection'!C92</f>
        <v>46212</v>
      </c>
      <c r="D92" s="0" t="n">
        <f aca="false">'Demand Projection'!D92</f>
        <v>549</v>
      </c>
      <c r="E92" s="0" t="n">
        <f aca="false">SUMIFS('Demand Projection'!$D$2:$D$169,'Demand Projection'!$B$2:$B$169,B92,'Demand Projection'!$C$2:$C$169,"&gt;="&amp;C92,'Demand Projection'!$C$2:$C$169,"&lt;="&amp;C92+5)</f>
        <v>549</v>
      </c>
      <c r="F92" s="0" t="n">
        <f aca="false">SUMIFS($I$2:I91,$B$2:B91,B92,$J$2:J91,"&lt;="&amp;C92)</f>
        <v>13272</v>
      </c>
      <c r="G92" s="0" t="n">
        <f aca="false">SUMIFS($D$2:D92,$B$2:B92,B92)</f>
        <v>14972</v>
      </c>
      <c r="H92" s="0" t="n">
        <f aca="false">VLOOKUP(B92,Warehouse!$B$2:$D$6,3,FALSE())+F92-G92</f>
        <v>0</v>
      </c>
      <c r="I92" s="0" t="n">
        <f aca="false">IF(H92&lt;VLOOKUP(B92,Capacity!$D$3:$F$7,2,FALSE()),VLOOKUP(B92,Capacity!$D$3:$F$7,3,FALSE())-H92,0)</f>
        <v>1537</v>
      </c>
      <c r="J92" s="2" t="n">
        <f aca="false">IF(I92&gt;0,C92+3,"")</f>
        <v>46215</v>
      </c>
      <c r="K92" s="0" t="n">
        <f aca="false">IF(I92&gt;0,MAX($K$2:K91)+1,"")</f>
        <v>38</v>
      </c>
    </row>
    <row r="93" customFormat="false" ht="15" hidden="false" customHeight="false" outlineLevel="0" collapsed="false">
      <c r="A93" s="0" t="n">
        <f aca="false">'Demand Projection'!A93</f>
        <v>92</v>
      </c>
      <c r="B93" s="0" t="str">
        <f aca="false">'Demand Projection'!B93</f>
        <v>SKU PROD E</v>
      </c>
      <c r="C93" s="2" t="n">
        <f aca="false">'Demand Projection'!C93</f>
        <v>46215</v>
      </c>
      <c r="D93" s="0" t="n">
        <f aca="false">'Demand Projection'!D93</f>
        <v>363</v>
      </c>
      <c r="E93" s="0" t="n">
        <f aca="false">SUMIFS('Demand Projection'!$D$2:$D$169,'Demand Projection'!$B$2:$B$169,B93,'Demand Projection'!$C$2:$C$169,"&gt;="&amp;C93,'Demand Projection'!$C$2:$C$169,"&lt;="&amp;C93+5)</f>
        <v>363</v>
      </c>
      <c r="F93" s="0" t="n">
        <f aca="false">SUMIFS($I$2:I92,$B$2:B92,B93,$J$2:J92,"&lt;="&amp;C93)</f>
        <v>15151</v>
      </c>
      <c r="G93" s="0" t="n">
        <f aca="false">SUMIFS($D$2:D93,$B$2:B93,B93)</f>
        <v>15457</v>
      </c>
      <c r="H93" s="0" t="n">
        <f aca="false">VLOOKUP(B93,Warehouse!$B$2:$D$6,3,FALSE())+F93-G93</f>
        <v>1994</v>
      </c>
      <c r="I93" s="0" t="n">
        <f aca="false">IF(H93&lt;VLOOKUP(B93,Capacity!$D$3:$F$7,2,FALSE()),VLOOKUP(B93,Capacity!$D$3:$F$7,3,FALSE())-H93,0)</f>
        <v>0</v>
      </c>
      <c r="J93" s="2" t="str">
        <f aca="false">IF(I93&gt;0,C93+3,"")</f>
        <v/>
      </c>
      <c r="K93" s="0" t="str">
        <f aca="false">IF(I93&gt;0,MAX($K$2:K92)+1,"")</f>
        <v/>
      </c>
    </row>
    <row r="94" customFormat="false" ht="15" hidden="false" customHeight="false" outlineLevel="0" collapsed="false">
      <c r="A94" s="0" t="n">
        <f aca="false">'Demand Projection'!A94</f>
        <v>93</v>
      </c>
      <c r="B94" s="0" t="str">
        <f aca="false">'Demand Projection'!B94</f>
        <v>SKU PROD B</v>
      </c>
      <c r="C94" s="2" t="n">
        <f aca="false">'Demand Projection'!C94</f>
        <v>46216</v>
      </c>
      <c r="D94" s="0" t="n">
        <f aca="false">'Demand Projection'!D94</f>
        <v>545</v>
      </c>
      <c r="E94" s="0" t="n">
        <f aca="false">SUMIFS('Demand Projection'!$D$2:$D$169,'Demand Projection'!$B$2:$B$169,B94,'Demand Projection'!$C$2:$C$169,"&gt;="&amp;C94,'Demand Projection'!$C$2:$C$169,"&lt;="&amp;C94+5)</f>
        <v>545</v>
      </c>
      <c r="F94" s="0" t="n">
        <f aca="false">SUMIFS($I$2:I93,$B$2:B93,B94,$J$2:J93,"&lt;="&amp;C94)</f>
        <v>45327</v>
      </c>
      <c r="G94" s="0" t="n">
        <f aca="false">SUMIFS($D$2:D94,$B$2:B94,B94)</f>
        <v>47302</v>
      </c>
      <c r="H94" s="0" t="n">
        <f aca="false">VLOOKUP(B94,Warehouse!$B$2:$D$6,3,FALSE())+F94-G94</f>
        <v>6025</v>
      </c>
      <c r="I94" s="0" t="n">
        <f aca="false">IF(H94&lt;VLOOKUP(B94,Capacity!$D$3:$F$7,2,FALSE()),VLOOKUP(B94,Capacity!$D$3:$F$7,3,FALSE())-H94,0)</f>
        <v>0</v>
      </c>
      <c r="J94" s="2" t="str">
        <f aca="false">IF(I94&gt;0,C94+3,"")</f>
        <v/>
      </c>
      <c r="K94" s="0" t="str">
        <f aca="false">IF(I94&gt;0,MAX($K$2:K93)+1,"")</f>
        <v/>
      </c>
    </row>
    <row r="95" customFormat="false" ht="15" hidden="false" customHeight="false" outlineLevel="0" collapsed="false">
      <c r="A95" s="0" t="n">
        <f aca="false">'Demand Projection'!A95</f>
        <v>94</v>
      </c>
      <c r="B95" s="0" t="str">
        <f aca="false">'Demand Projection'!B95</f>
        <v>SKU PROD D</v>
      </c>
      <c r="C95" s="2" t="n">
        <f aca="false">'Demand Projection'!C95</f>
        <v>46220</v>
      </c>
      <c r="D95" s="0" t="n">
        <f aca="false">'Demand Projection'!D95</f>
        <v>775</v>
      </c>
      <c r="E95" s="0" t="n">
        <f aca="false">SUMIFS('Demand Projection'!$D$2:$D$169,'Demand Projection'!$B$2:$B$169,B95,'Demand Projection'!$C$2:$C$169,"&gt;="&amp;C95,'Demand Projection'!$C$2:$C$169,"&lt;="&amp;C95+5)</f>
        <v>775</v>
      </c>
      <c r="F95" s="0" t="n">
        <f aca="false">SUMIFS($I$2:I94,$B$2:B94,B95,$J$2:J94,"&lt;="&amp;C95)</f>
        <v>28062</v>
      </c>
      <c r="G95" s="0" t="n">
        <f aca="false">SUMIFS($D$2:D95,$B$2:B95,B95)</f>
        <v>29464</v>
      </c>
      <c r="H95" s="0" t="n">
        <f aca="false">VLOOKUP(B95,Warehouse!$B$2:$D$6,3,FALSE())+F95-G95</f>
        <v>2098</v>
      </c>
      <c r="I95" s="0" t="n">
        <f aca="false">IF(H95&lt;VLOOKUP(B95,Capacity!$D$3:$F$7,2,FALSE()),VLOOKUP(B95,Capacity!$D$3:$F$7,3,FALSE())-H95,0)</f>
        <v>0</v>
      </c>
      <c r="J95" s="2" t="str">
        <f aca="false">IF(I95&gt;0,C95+3,"")</f>
        <v/>
      </c>
      <c r="K95" s="0" t="str">
        <f aca="false">IF(I95&gt;0,MAX($K$2:K94)+1,"")</f>
        <v/>
      </c>
    </row>
    <row r="96" customFormat="false" ht="15" hidden="false" customHeight="false" outlineLevel="0" collapsed="false">
      <c r="A96" s="0" t="n">
        <f aca="false">'Demand Projection'!A96</f>
        <v>95</v>
      </c>
      <c r="B96" s="0" t="str">
        <f aca="false">'Demand Projection'!B96</f>
        <v>SKU PROD C</v>
      </c>
      <c r="C96" s="2" t="n">
        <f aca="false">'Demand Projection'!C96</f>
        <v>46223</v>
      </c>
      <c r="D96" s="0" t="n">
        <f aca="false">'Demand Projection'!D96</f>
        <v>713</v>
      </c>
      <c r="E96" s="0" t="n">
        <f aca="false">SUMIFS('Demand Projection'!$D$2:$D$169,'Demand Projection'!$B$2:$B$169,B96,'Demand Projection'!$C$2:$C$169,"&gt;="&amp;C96,'Demand Projection'!$C$2:$C$169,"&lt;="&amp;C96+5)</f>
        <v>713</v>
      </c>
      <c r="F96" s="0" t="n">
        <f aca="false">SUMIFS($I$2:I95,$B$2:B95,B96,$J$2:J95,"&lt;="&amp;C96)</f>
        <v>14809</v>
      </c>
      <c r="G96" s="0" t="n">
        <f aca="false">SUMIFS($D$2:D96,$B$2:B96,B96)</f>
        <v>15685</v>
      </c>
      <c r="H96" s="0" t="n">
        <f aca="false">VLOOKUP(B96,Warehouse!$B$2:$D$6,3,FALSE())+F96-G96</f>
        <v>824</v>
      </c>
      <c r="I96" s="0" t="n">
        <f aca="false">IF(H96&lt;VLOOKUP(B96,Capacity!$D$3:$F$7,2,FALSE()),VLOOKUP(B96,Capacity!$D$3:$F$7,3,FALSE())-H96,0)</f>
        <v>0</v>
      </c>
      <c r="J96" s="2" t="str">
        <f aca="false">IF(I96&gt;0,C96+3,"")</f>
        <v/>
      </c>
      <c r="K96" s="0" t="str">
        <f aca="false">IF(I96&gt;0,MAX($K$2:K95)+1,"")</f>
        <v/>
      </c>
    </row>
    <row r="97" customFormat="false" ht="15" hidden="false" customHeight="false" outlineLevel="0" collapsed="false">
      <c r="A97" s="0" t="n">
        <f aca="false">'Demand Projection'!A97</f>
        <v>96</v>
      </c>
      <c r="B97" s="0" t="str">
        <f aca="false">'Demand Projection'!B97</f>
        <v>SKU PROD A</v>
      </c>
      <c r="C97" s="2" t="n">
        <f aca="false">'Demand Projection'!C97</f>
        <v>46227</v>
      </c>
      <c r="D97" s="0" t="n">
        <f aca="false">'Demand Projection'!D97</f>
        <v>985</v>
      </c>
      <c r="E97" s="0" t="n">
        <f aca="false">SUMIFS('Demand Projection'!$D$2:$D$169,'Demand Projection'!$B$2:$B$169,B97,'Demand Projection'!$C$2:$C$169,"&gt;="&amp;C97,'Demand Projection'!$C$2:$C$169,"&lt;="&amp;C97+5)</f>
        <v>985</v>
      </c>
      <c r="F97" s="0" t="n">
        <f aca="false">SUMIFS($I$2:I96,$B$2:B96,B97,$J$2:J96,"&lt;="&amp;C97)</f>
        <v>24014</v>
      </c>
      <c r="G97" s="0" t="n">
        <f aca="false">SUMIFS($D$2:D97,$B$2:B97,B97)</f>
        <v>24567</v>
      </c>
      <c r="H97" s="0" t="n">
        <f aca="false">VLOOKUP(B97,Warehouse!$B$2:$D$6,3,FALSE())+F97-G97</f>
        <v>1647</v>
      </c>
      <c r="I97" s="0" t="n">
        <f aca="false">IF(H97&lt;VLOOKUP(B97,Capacity!$D$3:$F$7,2,FALSE()),VLOOKUP(B97,Capacity!$D$3:$F$7,3,FALSE())-H97,0)</f>
        <v>0</v>
      </c>
      <c r="J97" s="2" t="str">
        <f aca="false">IF(I97&gt;0,C97+3,"")</f>
        <v/>
      </c>
      <c r="K97" s="0" t="str">
        <f aca="false">IF(I97&gt;0,MAX($K$2:K96)+1,"")</f>
        <v/>
      </c>
    </row>
    <row r="98" customFormat="false" ht="15" hidden="false" customHeight="false" outlineLevel="0" collapsed="false">
      <c r="A98" s="0" t="n">
        <f aca="false">'Demand Projection'!A98</f>
        <v>97</v>
      </c>
      <c r="B98" s="0" t="str">
        <f aca="false">'Demand Projection'!B98</f>
        <v>SKU PROD D</v>
      </c>
      <c r="C98" s="2" t="n">
        <f aca="false">'Demand Projection'!C98</f>
        <v>46231</v>
      </c>
      <c r="D98" s="0" t="n">
        <f aca="false">'Demand Projection'!D98</f>
        <v>2949</v>
      </c>
      <c r="E98" s="0" t="n">
        <f aca="false">SUMIFS('Demand Projection'!$D$2:$D$169,'Demand Projection'!$B$2:$B$169,B98,'Demand Projection'!$C$2:$C$169,"&gt;="&amp;C98,'Demand Projection'!$C$2:$C$169,"&lt;="&amp;C98+5)</f>
        <v>2949</v>
      </c>
      <c r="F98" s="0" t="n">
        <f aca="false">SUMIFS($I$2:I97,$B$2:B97,B98,$J$2:J97,"&lt;="&amp;C98)</f>
        <v>28062</v>
      </c>
      <c r="G98" s="0" t="n">
        <f aca="false">SUMIFS($D$2:D98,$B$2:B98,B98)</f>
        <v>32413</v>
      </c>
      <c r="H98" s="0" t="n">
        <f aca="false">VLOOKUP(B98,Warehouse!$B$2:$D$6,3,FALSE())+F98-G98</f>
        <v>-851</v>
      </c>
      <c r="I98" s="0" t="n">
        <f aca="false">IF(H98&lt;VLOOKUP(B98,Capacity!$D$3:$F$7,2,FALSE()),VLOOKUP(B98,Capacity!$D$3:$F$7,3,FALSE())-H98,0)</f>
        <v>4383</v>
      </c>
      <c r="J98" s="2" t="n">
        <f aca="false">IF(I98&gt;0,C98+3,"")</f>
        <v>46234</v>
      </c>
      <c r="K98" s="0" t="n">
        <f aca="false">IF(I98&gt;0,MAX($K$2:K97)+1,"")</f>
        <v>39</v>
      </c>
    </row>
    <row r="99" customFormat="false" ht="15" hidden="false" customHeight="false" outlineLevel="0" collapsed="false">
      <c r="A99" s="0" t="n">
        <f aca="false">'Demand Projection'!A99</f>
        <v>98</v>
      </c>
      <c r="B99" s="0" t="str">
        <f aca="false">'Demand Projection'!B99</f>
        <v>SKU PROD E</v>
      </c>
      <c r="C99" s="2" t="n">
        <f aca="false">'Demand Projection'!C99</f>
        <v>46231</v>
      </c>
      <c r="D99" s="0" t="n">
        <f aca="false">'Demand Projection'!D99</f>
        <v>1967</v>
      </c>
      <c r="E99" s="0" t="n">
        <f aca="false">SUMIFS('Demand Projection'!$D$2:$D$169,'Demand Projection'!$B$2:$B$169,B99,'Demand Projection'!$C$2:$C$169,"&gt;="&amp;C99,'Demand Projection'!$C$2:$C$169,"&lt;="&amp;C99+5)</f>
        <v>1967</v>
      </c>
      <c r="F99" s="0" t="n">
        <f aca="false">SUMIFS($I$2:I98,$B$2:B98,B99,$J$2:J98,"&lt;="&amp;C99)</f>
        <v>15151</v>
      </c>
      <c r="G99" s="0" t="n">
        <f aca="false">SUMIFS($D$2:D99,$B$2:B99,B99)</f>
        <v>17424</v>
      </c>
      <c r="H99" s="0" t="n">
        <f aca="false">VLOOKUP(B99,Warehouse!$B$2:$D$6,3,FALSE())+F99-G99</f>
        <v>27</v>
      </c>
      <c r="I99" s="0" t="n">
        <f aca="false">IF(H99&lt;VLOOKUP(B99,Capacity!$D$3:$F$7,2,FALSE()),VLOOKUP(B99,Capacity!$D$3:$F$7,3,FALSE())-H99,0)</f>
        <v>2330</v>
      </c>
      <c r="J99" s="2" t="n">
        <f aca="false">IF(I99&gt;0,C99+3,"")</f>
        <v>46234</v>
      </c>
      <c r="K99" s="0" t="n">
        <f aca="false">IF(I99&gt;0,MAX($K$2:K98)+1,"")</f>
        <v>40</v>
      </c>
    </row>
    <row r="100" customFormat="false" ht="15" hidden="false" customHeight="false" outlineLevel="0" collapsed="false">
      <c r="A100" s="0" t="n">
        <f aca="false">'Demand Projection'!A100</f>
        <v>99</v>
      </c>
      <c r="B100" s="0" t="str">
        <f aca="false">'Demand Projection'!B100</f>
        <v>SKU PROD A</v>
      </c>
      <c r="C100" s="2" t="n">
        <f aca="false">'Demand Projection'!C100</f>
        <v>46237</v>
      </c>
      <c r="D100" s="0" t="n">
        <f aca="false">'Demand Projection'!D100</f>
        <v>932</v>
      </c>
      <c r="E100" s="0" t="n">
        <f aca="false">SUMIFS('Demand Projection'!$D$2:$D$169,'Demand Projection'!$B$2:$B$169,B100,'Demand Projection'!$C$2:$C$169,"&gt;="&amp;C100,'Demand Projection'!$C$2:$C$169,"&lt;="&amp;C100+5)</f>
        <v>2238</v>
      </c>
      <c r="F100" s="0" t="n">
        <f aca="false">SUMIFS($I$2:I99,$B$2:B99,B100,$J$2:J99,"&lt;="&amp;C100)</f>
        <v>24014</v>
      </c>
      <c r="G100" s="0" t="n">
        <f aca="false">SUMIFS($D$2:D100,$B$2:B100,B100)</f>
        <v>25499</v>
      </c>
      <c r="H100" s="0" t="n">
        <f aca="false">VLOOKUP(B100,Warehouse!$B$2:$D$6,3,FALSE())+F100-G100</f>
        <v>715</v>
      </c>
      <c r="I100" s="0" t="n">
        <f aca="false">IF(H100&lt;VLOOKUP(B100,Capacity!$D$3:$F$7,2,FALSE()),VLOOKUP(B100,Capacity!$D$3:$F$7,3,FALSE())-H100,0)</f>
        <v>0</v>
      </c>
      <c r="J100" s="2" t="str">
        <f aca="false">IF(I100&gt;0,C100+3,"")</f>
        <v/>
      </c>
      <c r="K100" s="0" t="str">
        <f aca="false">IF(I100&gt;0,MAX($K$2:K99)+1,"")</f>
        <v/>
      </c>
    </row>
    <row r="101" customFormat="false" ht="15" hidden="false" customHeight="false" outlineLevel="0" collapsed="false">
      <c r="A101" s="0" t="n">
        <f aca="false">'Demand Projection'!A101</f>
        <v>100</v>
      </c>
      <c r="B101" s="0" t="str">
        <f aca="false">'Demand Projection'!B101</f>
        <v>SKU PROD B</v>
      </c>
      <c r="C101" s="2" t="n">
        <f aca="false">'Demand Projection'!C101</f>
        <v>46237</v>
      </c>
      <c r="D101" s="0" t="n">
        <f aca="false">'Demand Projection'!D101</f>
        <v>5585</v>
      </c>
      <c r="E101" s="0" t="n">
        <f aca="false">SUMIFS('Demand Projection'!$D$2:$D$169,'Demand Projection'!$B$2:$B$169,B101,'Demand Projection'!$C$2:$C$169,"&gt;="&amp;C101,'Demand Projection'!$C$2:$C$169,"&lt;="&amp;C101+5)</f>
        <v>5585</v>
      </c>
      <c r="F101" s="0" t="n">
        <f aca="false">SUMIFS($I$2:I100,$B$2:B100,B101,$J$2:J100,"&lt;="&amp;C101)</f>
        <v>45327</v>
      </c>
      <c r="G101" s="0" t="n">
        <f aca="false">SUMIFS($D$2:D101,$B$2:B101,B101)</f>
        <v>52887</v>
      </c>
      <c r="H101" s="0" t="n">
        <f aca="false">VLOOKUP(B101,Warehouse!$B$2:$D$6,3,FALSE())+F101-G101</f>
        <v>440</v>
      </c>
      <c r="I101" s="0" t="n">
        <f aca="false">IF(H101&lt;VLOOKUP(B101,Capacity!$D$3:$F$7,2,FALSE()),VLOOKUP(B101,Capacity!$D$3:$F$7,3,FALSE())-H101,0)</f>
        <v>0</v>
      </c>
      <c r="J101" s="2" t="str">
        <f aca="false">IF(I101&gt;0,C101+3,"")</f>
        <v/>
      </c>
      <c r="K101" s="0" t="str">
        <f aca="false">IF(I101&gt;0,MAX($K$2:K100)+1,"")</f>
        <v/>
      </c>
    </row>
    <row r="102" customFormat="false" ht="15" hidden="false" customHeight="false" outlineLevel="0" collapsed="false">
      <c r="A102" s="0" t="n">
        <f aca="false">'Demand Projection'!A102</f>
        <v>101</v>
      </c>
      <c r="B102" s="0" t="str">
        <f aca="false">'Demand Projection'!B102</f>
        <v>SKU PROD A</v>
      </c>
      <c r="C102" s="2" t="n">
        <f aca="false">'Demand Projection'!C102</f>
        <v>46238</v>
      </c>
      <c r="D102" s="0" t="n">
        <f aca="false">'Demand Projection'!D102</f>
        <v>374</v>
      </c>
      <c r="E102" s="0" t="n">
        <f aca="false">SUMIFS('Demand Projection'!$D$2:$D$169,'Demand Projection'!$B$2:$B$169,B102,'Demand Projection'!$C$2:$C$169,"&gt;="&amp;C102,'Demand Projection'!$C$2:$C$169,"&lt;="&amp;C102+5)</f>
        <v>1306</v>
      </c>
      <c r="F102" s="0" t="n">
        <f aca="false">SUMIFS($I$2:I101,$B$2:B101,B102,$J$2:J101,"&lt;="&amp;C102)</f>
        <v>24014</v>
      </c>
      <c r="G102" s="0" t="n">
        <f aca="false">SUMIFS($D$2:D102,$B$2:B102,B102)</f>
        <v>25873</v>
      </c>
      <c r="H102" s="0" t="n">
        <f aca="false">VLOOKUP(B102,Warehouse!$B$2:$D$6,3,FALSE())+F102-G102</f>
        <v>341</v>
      </c>
      <c r="I102" s="0" t="n">
        <f aca="false">IF(H102&lt;VLOOKUP(B102,Capacity!$D$3:$F$7,2,FALSE()),VLOOKUP(B102,Capacity!$D$3:$F$7,3,FALSE())-H102,0)</f>
        <v>2291</v>
      </c>
      <c r="J102" s="2" t="n">
        <f aca="false">IF(I102&gt;0,C102+3,"")</f>
        <v>46241</v>
      </c>
      <c r="K102" s="0" t="n">
        <f aca="false">IF(I102&gt;0,MAX($K$2:K101)+1,"")</f>
        <v>41</v>
      </c>
    </row>
    <row r="103" customFormat="false" ht="15" hidden="false" customHeight="false" outlineLevel="0" collapsed="false">
      <c r="A103" s="0" t="n">
        <f aca="false">'Demand Projection'!A103</f>
        <v>102</v>
      </c>
      <c r="B103" s="0" t="str">
        <f aca="false">'Demand Projection'!B103</f>
        <v>SKU PROD C</v>
      </c>
      <c r="C103" s="2" t="n">
        <f aca="false">'Demand Projection'!C103</f>
        <v>46239</v>
      </c>
      <c r="D103" s="0" t="n">
        <f aca="false">'Demand Projection'!D103</f>
        <v>840</v>
      </c>
      <c r="E103" s="0" t="n">
        <f aca="false">SUMIFS('Demand Projection'!$D$2:$D$169,'Demand Projection'!$B$2:$B$169,B103,'Demand Projection'!$C$2:$C$169,"&gt;="&amp;C103,'Demand Projection'!$C$2:$C$169,"&lt;="&amp;C103+5)</f>
        <v>1307</v>
      </c>
      <c r="F103" s="0" t="n">
        <f aca="false">SUMIFS($I$2:I102,$B$2:B102,B103,$J$2:J102,"&lt;="&amp;C103)</f>
        <v>14809</v>
      </c>
      <c r="G103" s="0" t="n">
        <f aca="false">SUMIFS($D$2:D103,$B$2:B103,B103)</f>
        <v>16525</v>
      </c>
      <c r="H103" s="0" t="n">
        <f aca="false">VLOOKUP(B103,Warehouse!$B$2:$D$6,3,FALSE())+F103-G103</f>
        <v>-16</v>
      </c>
      <c r="I103" s="0" t="n">
        <f aca="false">IF(H103&lt;VLOOKUP(B103,Capacity!$D$3:$F$7,2,FALSE()),VLOOKUP(B103,Capacity!$D$3:$F$7,3,FALSE())-H103,0)</f>
        <v>1553</v>
      </c>
      <c r="J103" s="2" t="n">
        <f aca="false">IF(I103&gt;0,C103+3,"")</f>
        <v>46242</v>
      </c>
      <c r="K103" s="0" t="n">
        <f aca="false">IF(I103&gt;0,MAX($K$2:K102)+1,"")</f>
        <v>42</v>
      </c>
    </row>
    <row r="104" customFormat="false" ht="15" hidden="false" customHeight="false" outlineLevel="0" collapsed="false">
      <c r="A104" s="0" t="n">
        <f aca="false">'Demand Projection'!A104</f>
        <v>103</v>
      </c>
      <c r="B104" s="0" t="str">
        <f aca="false">'Demand Projection'!B104</f>
        <v>SKU PROD D</v>
      </c>
      <c r="C104" s="2" t="n">
        <f aca="false">'Demand Projection'!C104</f>
        <v>46240</v>
      </c>
      <c r="D104" s="0" t="n">
        <f aca="false">'Demand Projection'!D104</f>
        <v>561</v>
      </c>
      <c r="E104" s="0" t="n">
        <f aca="false">SUMIFS('Demand Projection'!$D$2:$D$169,'Demand Projection'!$B$2:$B$169,B104,'Demand Projection'!$C$2:$C$169,"&gt;="&amp;C104,'Demand Projection'!$C$2:$C$169,"&lt;="&amp;C104+5)</f>
        <v>561</v>
      </c>
      <c r="F104" s="0" t="n">
        <f aca="false">SUMIFS($I$2:I103,$B$2:B103,B104,$J$2:J103,"&lt;="&amp;C104)</f>
        <v>32445</v>
      </c>
      <c r="G104" s="0" t="n">
        <f aca="false">SUMIFS($D$2:D104,$B$2:B104,B104)</f>
        <v>32974</v>
      </c>
      <c r="H104" s="0" t="n">
        <f aca="false">VLOOKUP(B104,Warehouse!$B$2:$D$6,3,FALSE())+F104-G104</f>
        <v>2971</v>
      </c>
      <c r="I104" s="0" t="n">
        <f aca="false">IF(H104&lt;VLOOKUP(B104,Capacity!$D$3:$F$7,2,FALSE()),VLOOKUP(B104,Capacity!$D$3:$F$7,3,FALSE())-H104,0)</f>
        <v>0</v>
      </c>
      <c r="J104" s="2" t="str">
        <f aca="false">IF(I104&gt;0,C104+3,"")</f>
        <v/>
      </c>
      <c r="K104" s="0" t="str">
        <f aca="false">IF(I104&gt;0,MAX($K$2:K103)+1,"")</f>
        <v/>
      </c>
    </row>
    <row r="105" customFormat="false" ht="15" hidden="false" customHeight="false" outlineLevel="0" collapsed="false">
      <c r="A105" s="0" t="n">
        <f aca="false">'Demand Projection'!A105</f>
        <v>104</v>
      </c>
      <c r="B105" s="0" t="str">
        <f aca="false">'Demand Projection'!B105</f>
        <v>SKU PROD A</v>
      </c>
      <c r="C105" s="2" t="n">
        <f aca="false">'Demand Projection'!C105</f>
        <v>46241</v>
      </c>
      <c r="D105" s="0" t="n">
        <f aca="false">'Demand Projection'!D105</f>
        <v>932</v>
      </c>
      <c r="E105" s="0" t="n">
        <f aca="false">SUMIFS('Demand Projection'!$D$2:$D$169,'Demand Projection'!$B$2:$B$169,B105,'Demand Projection'!$C$2:$C$169,"&gt;="&amp;C105,'Demand Projection'!$C$2:$C$169,"&lt;="&amp;C105+5)</f>
        <v>932</v>
      </c>
      <c r="F105" s="0" t="n">
        <f aca="false">SUMIFS($I$2:I104,$B$2:B104,B105,$J$2:J104,"&lt;="&amp;C105)</f>
        <v>26305</v>
      </c>
      <c r="G105" s="0" t="n">
        <f aca="false">SUMIFS($D$2:D105,$B$2:B105,B105)</f>
        <v>26805</v>
      </c>
      <c r="H105" s="0" t="n">
        <f aca="false">VLOOKUP(B105,Warehouse!$B$2:$D$6,3,FALSE())+F105-G105</f>
        <v>1700</v>
      </c>
      <c r="I105" s="0" t="n">
        <f aca="false">IF(H105&lt;VLOOKUP(B105,Capacity!$D$3:$F$7,2,FALSE()),VLOOKUP(B105,Capacity!$D$3:$F$7,3,FALSE())-H105,0)</f>
        <v>0</v>
      </c>
      <c r="J105" s="2" t="str">
        <f aca="false">IF(I105&gt;0,C105+3,"")</f>
        <v/>
      </c>
      <c r="K105" s="0" t="str">
        <f aca="false">IF(I105&gt;0,MAX($K$2:K104)+1,"")</f>
        <v/>
      </c>
    </row>
    <row r="106" customFormat="false" ht="15" hidden="false" customHeight="false" outlineLevel="0" collapsed="false">
      <c r="A106" s="0" t="n">
        <f aca="false">'Demand Projection'!A106</f>
        <v>105</v>
      </c>
      <c r="B106" s="0" t="str">
        <f aca="false">'Demand Projection'!B106</f>
        <v>SKU PROD C</v>
      </c>
      <c r="C106" s="2" t="n">
        <f aca="false">'Demand Projection'!C106</f>
        <v>46243</v>
      </c>
      <c r="D106" s="0" t="n">
        <f aca="false">'Demand Projection'!D106</f>
        <v>467</v>
      </c>
      <c r="E106" s="0" t="n">
        <f aca="false">SUMIFS('Demand Projection'!$D$2:$D$169,'Demand Projection'!$B$2:$B$169,B106,'Demand Projection'!$C$2:$C$169,"&gt;="&amp;C106,'Demand Projection'!$C$2:$C$169,"&lt;="&amp;C106+5)</f>
        <v>467</v>
      </c>
      <c r="F106" s="0" t="n">
        <f aca="false">SUMIFS($I$2:I105,$B$2:B105,B106,$J$2:J105,"&lt;="&amp;C106)</f>
        <v>16362</v>
      </c>
      <c r="G106" s="0" t="n">
        <f aca="false">SUMIFS($D$2:D106,$B$2:B106,B106)</f>
        <v>16992</v>
      </c>
      <c r="H106" s="0" t="n">
        <f aca="false">VLOOKUP(B106,Warehouse!$B$2:$D$6,3,FALSE())+F106-G106</f>
        <v>1070</v>
      </c>
      <c r="I106" s="0" t="n">
        <f aca="false">IF(H106&lt;VLOOKUP(B106,Capacity!$D$3:$F$7,2,FALSE()),VLOOKUP(B106,Capacity!$D$3:$F$7,3,FALSE())-H106,0)</f>
        <v>0</v>
      </c>
      <c r="J106" s="2" t="str">
        <f aca="false">IF(I106&gt;0,C106+3,"")</f>
        <v/>
      </c>
      <c r="K106" s="0" t="str">
        <f aca="false">IF(I106&gt;0,MAX($K$2:K105)+1,"")</f>
        <v/>
      </c>
    </row>
    <row r="107" customFormat="false" ht="15" hidden="false" customHeight="false" outlineLevel="0" collapsed="false">
      <c r="A107" s="0" t="n">
        <f aca="false">'Demand Projection'!A107</f>
        <v>106</v>
      </c>
      <c r="B107" s="0" t="str">
        <f aca="false">'Demand Projection'!B107</f>
        <v>SKU PROD E</v>
      </c>
      <c r="C107" s="2" t="n">
        <f aca="false">'Demand Projection'!C107</f>
        <v>46246</v>
      </c>
      <c r="D107" s="0" t="n">
        <f aca="false">'Demand Projection'!D107</f>
        <v>309</v>
      </c>
      <c r="E107" s="0" t="n">
        <f aca="false">SUMIFS('Demand Projection'!$D$2:$D$169,'Demand Projection'!$B$2:$B$169,B107,'Demand Projection'!$C$2:$C$169,"&gt;="&amp;C107,'Demand Projection'!$C$2:$C$169,"&lt;="&amp;C107+5)</f>
        <v>309</v>
      </c>
      <c r="F107" s="0" t="n">
        <f aca="false">SUMIFS($I$2:I106,$B$2:B106,B107,$J$2:J106,"&lt;="&amp;C107)</f>
        <v>17481</v>
      </c>
      <c r="G107" s="0" t="n">
        <f aca="false">SUMIFS($D$2:D107,$B$2:B107,B107)</f>
        <v>17733</v>
      </c>
      <c r="H107" s="0" t="n">
        <f aca="false">VLOOKUP(B107,Warehouse!$B$2:$D$6,3,FALSE())+F107-G107</f>
        <v>2048</v>
      </c>
      <c r="I107" s="0" t="n">
        <f aca="false">IF(H107&lt;VLOOKUP(B107,Capacity!$D$3:$F$7,2,FALSE()),VLOOKUP(B107,Capacity!$D$3:$F$7,3,FALSE())-H107,0)</f>
        <v>0</v>
      </c>
      <c r="J107" s="2" t="str">
        <f aca="false">IF(I107&gt;0,C107+3,"")</f>
        <v/>
      </c>
      <c r="K107" s="0" t="str">
        <f aca="false">IF(I107&gt;0,MAX($K$2:K106)+1,"")</f>
        <v/>
      </c>
    </row>
    <row r="108" customFormat="false" ht="15" hidden="false" customHeight="false" outlineLevel="0" collapsed="false">
      <c r="A108" s="0" t="n">
        <f aca="false">'Demand Projection'!A108</f>
        <v>107</v>
      </c>
      <c r="B108" s="0" t="str">
        <f aca="false">'Demand Projection'!B108</f>
        <v>SKU PROD B</v>
      </c>
      <c r="C108" s="2" t="n">
        <f aca="false">'Demand Projection'!C108</f>
        <v>46247</v>
      </c>
      <c r="D108" s="0" t="n">
        <f aca="false">'Demand Projection'!D108</f>
        <v>464</v>
      </c>
      <c r="E108" s="0" t="n">
        <f aca="false">SUMIFS('Demand Projection'!$D$2:$D$169,'Demand Projection'!$B$2:$B$169,B108,'Demand Projection'!$C$2:$C$169,"&gt;="&amp;C108,'Demand Projection'!$C$2:$C$169,"&lt;="&amp;C108+5)</f>
        <v>464</v>
      </c>
      <c r="F108" s="0" t="n">
        <f aca="false">SUMIFS($I$2:I107,$B$2:B107,B108,$J$2:J107,"&lt;="&amp;C108)</f>
        <v>45327</v>
      </c>
      <c r="G108" s="0" t="n">
        <f aca="false">SUMIFS($D$2:D108,$B$2:B108,B108)</f>
        <v>53351</v>
      </c>
      <c r="H108" s="0" t="n">
        <f aca="false">VLOOKUP(B108,Warehouse!$B$2:$D$6,3,FALSE())+F108-G108</f>
        <v>-24</v>
      </c>
      <c r="I108" s="0" t="n">
        <f aca="false">IF(H108&lt;VLOOKUP(B108,Capacity!$D$3:$F$7,2,FALSE()),VLOOKUP(B108,Capacity!$D$3:$F$7,3,FALSE())-H108,0)</f>
        <v>6594</v>
      </c>
      <c r="J108" s="2" t="n">
        <f aca="false">IF(I108&gt;0,C108+3,"")</f>
        <v>46250</v>
      </c>
      <c r="K108" s="0" t="n">
        <f aca="false">IF(I108&gt;0,MAX($K$2:K107)+1,"")</f>
        <v>43</v>
      </c>
    </row>
    <row r="109" customFormat="false" ht="15" hidden="false" customHeight="false" outlineLevel="0" collapsed="false">
      <c r="A109" s="0" t="n">
        <f aca="false">'Demand Projection'!A109</f>
        <v>108</v>
      </c>
      <c r="B109" s="0" t="str">
        <f aca="false">'Demand Projection'!B109</f>
        <v>SKU PROD D</v>
      </c>
      <c r="C109" s="2" t="n">
        <f aca="false">'Demand Projection'!C109</f>
        <v>46251</v>
      </c>
      <c r="D109" s="0" t="n">
        <f aca="false">'Demand Projection'!D109</f>
        <v>659</v>
      </c>
      <c r="E109" s="0" t="n">
        <f aca="false">SUMIFS('Demand Projection'!$D$2:$D$169,'Demand Projection'!$B$2:$B$169,B109,'Demand Projection'!$C$2:$C$169,"&gt;="&amp;C109,'Demand Projection'!$C$2:$C$169,"&lt;="&amp;C109+5)</f>
        <v>659</v>
      </c>
      <c r="F109" s="0" t="n">
        <f aca="false">SUMIFS($I$2:I108,$B$2:B108,B109,$J$2:J108,"&lt;="&amp;C109)</f>
        <v>32445</v>
      </c>
      <c r="G109" s="0" t="n">
        <f aca="false">SUMIFS($D$2:D109,$B$2:B109,B109)</f>
        <v>33633</v>
      </c>
      <c r="H109" s="0" t="n">
        <f aca="false">VLOOKUP(B109,Warehouse!$B$2:$D$6,3,FALSE())+F109-G109</f>
        <v>2312</v>
      </c>
      <c r="I109" s="0" t="n">
        <f aca="false">IF(H109&lt;VLOOKUP(B109,Capacity!$D$3:$F$7,2,FALSE()),VLOOKUP(B109,Capacity!$D$3:$F$7,3,FALSE())-H109,0)</f>
        <v>0</v>
      </c>
      <c r="J109" s="2" t="str">
        <f aca="false">IF(I109&gt;0,C109+3,"")</f>
        <v/>
      </c>
      <c r="K109" s="0" t="str">
        <f aca="false">IF(I109&gt;0,MAX($K$2:K108)+1,"")</f>
        <v/>
      </c>
    </row>
    <row r="110" customFormat="false" ht="15" hidden="false" customHeight="false" outlineLevel="0" collapsed="false">
      <c r="A110" s="0" t="n">
        <f aca="false">'Demand Projection'!A110</f>
        <v>109</v>
      </c>
      <c r="B110" s="0" t="str">
        <f aca="false">'Demand Projection'!B110</f>
        <v>SKU PROD C</v>
      </c>
      <c r="C110" s="2" t="n">
        <f aca="false">'Demand Projection'!C110</f>
        <v>46254</v>
      </c>
      <c r="D110" s="0" t="n">
        <f aca="false">'Demand Projection'!D110</f>
        <v>607</v>
      </c>
      <c r="E110" s="0" t="n">
        <f aca="false">SUMIFS('Demand Projection'!$D$2:$D$169,'Demand Projection'!$B$2:$B$169,B110,'Demand Projection'!$C$2:$C$169,"&gt;="&amp;C110,'Demand Projection'!$C$2:$C$169,"&lt;="&amp;C110+5)</f>
        <v>607</v>
      </c>
      <c r="F110" s="0" t="n">
        <f aca="false">SUMIFS($I$2:I109,$B$2:B109,B110,$J$2:J109,"&lt;="&amp;C110)</f>
        <v>16362</v>
      </c>
      <c r="G110" s="0" t="n">
        <f aca="false">SUMIFS($D$2:D110,$B$2:B110,B110)</f>
        <v>17599</v>
      </c>
      <c r="H110" s="0" t="n">
        <f aca="false">VLOOKUP(B110,Warehouse!$B$2:$D$6,3,FALSE())+F110-G110</f>
        <v>463</v>
      </c>
      <c r="I110" s="0" t="n">
        <f aca="false">IF(H110&lt;VLOOKUP(B110,Capacity!$D$3:$F$7,2,FALSE()),VLOOKUP(B110,Capacity!$D$3:$F$7,3,FALSE())-H110,0)</f>
        <v>0</v>
      </c>
      <c r="J110" s="2" t="str">
        <f aca="false">IF(I110&gt;0,C110+3,"")</f>
        <v/>
      </c>
      <c r="K110" s="0" t="str">
        <f aca="false">IF(I110&gt;0,MAX($K$2:K109)+1,"")</f>
        <v/>
      </c>
    </row>
    <row r="111" customFormat="false" ht="15" hidden="false" customHeight="false" outlineLevel="0" collapsed="false">
      <c r="A111" s="0" t="n">
        <f aca="false">'Demand Projection'!A111</f>
        <v>110</v>
      </c>
      <c r="B111" s="0" t="str">
        <f aca="false">'Demand Projection'!B111</f>
        <v>SKU PROD A</v>
      </c>
      <c r="C111" s="2" t="n">
        <f aca="false">'Demand Projection'!C111</f>
        <v>46258</v>
      </c>
      <c r="D111" s="0" t="n">
        <f aca="false">'Demand Projection'!D111</f>
        <v>838</v>
      </c>
      <c r="E111" s="0" t="n">
        <f aca="false">SUMIFS('Demand Projection'!$D$2:$D$169,'Demand Projection'!$B$2:$B$169,B111,'Demand Projection'!$C$2:$C$169,"&gt;="&amp;C111,'Demand Projection'!$C$2:$C$169,"&lt;="&amp;C111+5)</f>
        <v>838</v>
      </c>
      <c r="F111" s="0" t="n">
        <f aca="false">SUMIFS($I$2:I110,$B$2:B110,B111,$J$2:J110,"&lt;="&amp;C111)</f>
        <v>26305</v>
      </c>
      <c r="G111" s="0" t="n">
        <f aca="false">SUMIFS($D$2:D111,$B$2:B111,B111)</f>
        <v>27643</v>
      </c>
      <c r="H111" s="0" t="n">
        <f aca="false">VLOOKUP(B111,Warehouse!$B$2:$D$6,3,FALSE())+F111-G111</f>
        <v>862</v>
      </c>
      <c r="I111" s="0" t="n">
        <f aca="false">IF(H111&lt;VLOOKUP(B111,Capacity!$D$3:$F$7,2,FALSE()),VLOOKUP(B111,Capacity!$D$3:$F$7,3,FALSE())-H111,0)</f>
        <v>0</v>
      </c>
      <c r="J111" s="2" t="str">
        <f aca="false">IF(I111&gt;0,C111+3,"")</f>
        <v/>
      </c>
      <c r="K111" s="0" t="str">
        <f aca="false">IF(I111&gt;0,MAX($K$2:K110)+1,"")</f>
        <v/>
      </c>
    </row>
    <row r="112" customFormat="false" ht="15" hidden="false" customHeight="false" outlineLevel="0" collapsed="false">
      <c r="A112" s="0" t="n">
        <f aca="false">'Demand Projection'!A112</f>
        <v>111</v>
      </c>
      <c r="B112" s="0" t="str">
        <f aca="false">'Demand Projection'!B112</f>
        <v>SKU PROD D</v>
      </c>
      <c r="C112" s="2" t="n">
        <f aca="false">'Demand Projection'!C112</f>
        <v>46262</v>
      </c>
      <c r="D112" s="0" t="n">
        <f aca="false">'Demand Projection'!D112</f>
        <v>3038</v>
      </c>
      <c r="E112" s="0" t="n">
        <f aca="false">SUMIFS('Demand Projection'!$D$2:$D$169,'Demand Projection'!$B$2:$B$169,B112,'Demand Projection'!$C$2:$C$169,"&gt;="&amp;C112,'Demand Projection'!$C$2:$C$169,"&lt;="&amp;C112+5)</f>
        <v>3038</v>
      </c>
      <c r="F112" s="0" t="n">
        <f aca="false">SUMIFS($I$2:I111,$B$2:B111,B112,$J$2:J111,"&lt;="&amp;C112)</f>
        <v>32445</v>
      </c>
      <c r="G112" s="0" t="n">
        <f aca="false">SUMIFS($D$2:D112,$B$2:B112,B112)</f>
        <v>36671</v>
      </c>
      <c r="H112" s="0" t="n">
        <f aca="false">VLOOKUP(B112,Warehouse!$B$2:$D$6,3,FALSE())+F112-G112</f>
        <v>-726</v>
      </c>
      <c r="I112" s="0" t="n">
        <f aca="false">IF(H112&lt;VLOOKUP(B112,Capacity!$D$3:$F$7,2,FALSE()),VLOOKUP(B112,Capacity!$D$3:$F$7,3,FALSE())-H112,0)</f>
        <v>4258</v>
      </c>
      <c r="J112" s="2" t="n">
        <f aca="false">IF(I112&gt;0,C112+3,"")</f>
        <v>46265</v>
      </c>
      <c r="K112" s="0" t="n">
        <f aca="false">IF(I112&gt;0,MAX($K$2:K111)+1,"")</f>
        <v>44</v>
      </c>
    </row>
    <row r="113" customFormat="false" ht="15" hidden="false" customHeight="false" outlineLevel="0" collapsed="false">
      <c r="A113" s="0" t="n">
        <f aca="false">'Demand Projection'!A113</f>
        <v>112</v>
      </c>
      <c r="B113" s="0" t="str">
        <f aca="false">'Demand Projection'!B113</f>
        <v>SKU PROD E</v>
      </c>
      <c r="C113" s="2" t="n">
        <f aca="false">'Demand Projection'!C113</f>
        <v>46262</v>
      </c>
      <c r="D113" s="0" t="n">
        <f aca="false">'Demand Projection'!D113</f>
        <v>2027</v>
      </c>
      <c r="E113" s="0" t="n">
        <f aca="false">SUMIFS('Demand Projection'!$D$2:$D$169,'Demand Projection'!$B$2:$B$169,B113,'Demand Projection'!$C$2:$C$169,"&gt;="&amp;C113,'Demand Projection'!$C$2:$C$169,"&lt;="&amp;C113+5)</f>
        <v>2027</v>
      </c>
      <c r="F113" s="0" t="n">
        <f aca="false">SUMIFS($I$2:I112,$B$2:B112,B113,$J$2:J112,"&lt;="&amp;C113)</f>
        <v>17481</v>
      </c>
      <c r="G113" s="0" t="n">
        <f aca="false">SUMIFS($D$2:D113,$B$2:B113,B113)</f>
        <v>19760</v>
      </c>
      <c r="H113" s="0" t="n">
        <f aca="false">VLOOKUP(B113,Warehouse!$B$2:$D$6,3,FALSE())+F113-G113</f>
        <v>21</v>
      </c>
      <c r="I113" s="0" t="n">
        <f aca="false">IF(H113&lt;VLOOKUP(B113,Capacity!$D$3:$F$7,2,FALSE()),VLOOKUP(B113,Capacity!$D$3:$F$7,3,FALSE())-H113,0)</f>
        <v>2336</v>
      </c>
      <c r="J113" s="2" t="n">
        <f aca="false">IF(I113&gt;0,C113+3,"")</f>
        <v>46265</v>
      </c>
      <c r="K113" s="0" t="n">
        <f aca="false">IF(I113&gt;0,MAX($K$2:K112)+1,"")</f>
        <v>45</v>
      </c>
    </row>
    <row r="114" customFormat="false" ht="15" hidden="false" customHeight="false" outlineLevel="0" collapsed="false">
      <c r="A114" s="0" t="n">
        <f aca="false">'Demand Projection'!A114</f>
        <v>113</v>
      </c>
      <c r="B114" s="0" t="str">
        <f aca="false">'Demand Projection'!B114</f>
        <v>SKU PROD A</v>
      </c>
      <c r="C114" s="2" t="n">
        <f aca="false">'Demand Projection'!C114</f>
        <v>46268</v>
      </c>
      <c r="D114" s="0" t="n">
        <f aca="false">'Demand Projection'!D114</f>
        <v>793</v>
      </c>
      <c r="E114" s="0" t="n">
        <f aca="false">SUMIFS('Demand Projection'!$D$2:$D$169,'Demand Projection'!$B$2:$B$169,B114,'Demand Projection'!$C$2:$C$169,"&gt;="&amp;C114,'Demand Projection'!$C$2:$C$169,"&lt;="&amp;C114+5)</f>
        <v>1904</v>
      </c>
      <c r="F114" s="0" t="n">
        <f aca="false">SUMIFS($I$2:I113,$B$2:B113,B114,$J$2:J113,"&lt;="&amp;C114)</f>
        <v>26305</v>
      </c>
      <c r="G114" s="0" t="n">
        <f aca="false">SUMIFS($D$2:D114,$B$2:B114,B114)</f>
        <v>28436</v>
      </c>
      <c r="H114" s="0" t="n">
        <f aca="false">VLOOKUP(B114,Warehouse!$B$2:$D$6,3,FALSE())+F114-G114</f>
        <v>69</v>
      </c>
      <c r="I114" s="0" t="n">
        <f aca="false">IF(H114&lt;VLOOKUP(B114,Capacity!$D$3:$F$7,2,FALSE()),VLOOKUP(B114,Capacity!$D$3:$F$7,3,FALSE())-H114,0)</f>
        <v>2563</v>
      </c>
      <c r="J114" s="2" t="n">
        <f aca="false">IF(I114&gt;0,C114+3,"")</f>
        <v>46271</v>
      </c>
      <c r="K114" s="0" t="n">
        <f aca="false">IF(I114&gt;0,MAX($K$2:K113)+1,"")</f>
        <v>46</v>
      </c>
    </row>
    <row r="115" customFormat="false" ht="15" hidden="false" customHeight="false" outlineLevel="0" collapsed="false">
      <c r="A115" s="0" t="n">
        <f aca="false">'Demand Projection'!A115</f>
        <v>114</v>
      </c>
      <c r="B115" s="0" t="str">
        <f aca="false">'Demand Projection'!B115</f>
        <v>SKU PROD B</v>
      </c>
      <c r="C115" s="2" t="n">
        <f aca="false">'Demand Projection'!C115</f>
        <v>46268</v>
      </c>
      <c r="D115" s="0" t="n">
        <f aca="false">'Demand Projection'!D115</f>
        <v>4748</v>
      </c>
      <c r="E115" s="0" t="n">
        <f aca="false">SUMIFS('Demand Projection'!$D$2:$D$169,'Demand Projection'!$B$2:$B$169,B115,'Demand Projection'!$C$2:$C$169,"&gt;="&amp;C115,'Demand Projection'!$C$2:$C$169,"&lt;="&amp;C115+5)</f>
        <v>4748</v>
      </c>
      <c r="F115" s="0" t="n">
        <f aca="false">SUMIFS($I$2:I114,$B$2:B114,B115,$J$2:J114,"&lt;="&amp;C115)</f>
        <v>51921</v>
      </c>
      <c r="G115" s="0" t="n">
        <f aca="false">SUMIFS($D$2:D115,$B$2:B115,B115)</f>
        <v>58099</v>
      </c>
      <c r="H115" s="0" t="n">
        <f aca="false">VLOOKUP(B115,Warehouse!$B$2:$D$6,3,FALSE())+F115-G115</f>
        <v>1822</v>
      </c>
      <c r="I115" s="0" t="n">
        <f aca="false">IF(H115&lt;VLOOKUP(B115,Capacity!$D$3:$F$7,2,FALSE()),VLOOKUP(B115,Capacity!$D$3:$F$7,3,FALSE())-H115,0)</f>
        <v>0</v>
      </c>
      <c r="J115" s="2" t="str">
        <f aca="false">IF(I115&gt;0,C115+3,"")</f>
        <v/>
      </c>
      <c r="K115" s="0" t="str">
        <f aca="false">IF(I115&gt;0,MAX($K$2:K114)+1,"")</f>
        <v/>
      </c>
    </row>
    <row r="116" customFormat="false" ht="15" hidden="false" customHeight="false" outlineLevel="0" collapsed="false">
      <c r="A116" s="0" t="n">
        <f aca="false">'Demand Projection'!A116</f>
        <v>115</v>
      </c>
      <c r="B116" s="0" t="str">
        <f aca="false">'Demand Projection'!B116</f>
        <v>SKU PROD A</v>
      </c>
      <c r="C116" s="2" t="n">
        <f aca="false">'Demand Projection'!C116</f>
        <v>46269</v>
      </c>
      <c r="D116" s="0" t="n">
        <f aca="false">'Demand Projection'!D116</f>
        <v>318</v>
      </c>
      <c r="E116" s="0" t="n">
        <f aca="false">SUMIFS('Demand Projection'!$D$2:$D$169,'Demand Projection'!$B$2:$B$169,B116,'Demand Projection'!$C$2:$C$169,"&gt;="&amp;C116,'Demand Projection'!$C$2:$C$169,"&lt;="&amp;C116+5)</f>
        <v>1111</v>
      </c>
      <c r="F116" s="0" t="n">
        <f aca="false">SUMIFS($I$2:I115,$B$2:B115,B116,$J$2:J115,"&lt;="&amp;C116)</f>
        <v>26305</v>
      </c>
      <c r="G116" s="0" t="n">
        <f aca="false">SUMIFS($D$2:D116,$B$2:B116,B116)</f>
        <v>28754</v>
      </c>
      <c r="H116" s="0" t="n">
        <f aca="false">VLOOKUP(B116,Warehouse!$B$2:$D$6,3,FALSE())+F116-G116</f>
        <v>-249</v>
      </c>
      <c r="I116" s="0" t="n">
        <f aca="false">IF(H116&lt;VLOOKUP(B116,Capacity!$D$3:$F$7,2,FALSE()),VLOOKUP(B116,Capacity!$D$3:$F$7,3,FALSE())-H116,0)</f>
        <v>2881</v>
      </c>
      <c r="J116" s="2" t="n">
        <f aca="false">IF(I116&gt;0,C116+3,"")</f>
        <v>46272</v>
      </c>
      <c r="K116" s="0" t="n">
        <f aca="false">IF(I116&gt;0,MAX($K$2:K115)+1,"")</f>
        <v>47</v>
      </c>
    </row>
    <row r="117" customFormat="false" ht="15" hidden="false" customHeight="false" outlineLevel="0" collapsed="false">
      <c r="A117" s="0" t="n">
        <f aca="false">'Demand Projection'!A117</f>
        <v>116</v>
      </c>
      <c r="B117" s="0" t="str">
        <f aca="false">'Demand Projection'!B117</f>
        <v>SKU PROD C</v>
      </c>
      <c r="C117" s="2" t="n">
        <f aca="false">'Demand Projection'!C117</f>
        <v>46270</v>
      </c>
      <c r="D117" s="0" t="n">
        <f aca="false">'Demand Projection'!D117</f>
        <v>714</v>
      </c>
      <c r="E117" s="0" t="n">
        <f aca="false">SUMIFS('Demand Projection'!$D$2:$D$169,'Demand Projection'!$B$2:$B$169,B117,'Demand Projection'!$C$2:$C$169,"&gt;="&amp;C117,'Demand Projection'!$C$2:$C$169,"&lt;="&amp;C117+5)</f>
        <v>1111</v>
      </c>
      <c r="F117" s="0" t="n">
        <f aca="false">SUMIFS($I$2:I116,$B$2:B116,B117,$J$2:J116,"&lt;="&amp;C117)</f>
        <v>16362</v>
      </c>
      <c r="G117" s="0" t="n">
        <f aca="false">SUMIFS($D$2:D117,$B$2:B117,B117)</f>
        <v>18313</v>
      </c>
      <c r="H117" s="0" t="n">
        <f aca="false">VLOOKUP(B117,Warehouse!$B$2:$D$6,3,FALSE())+F117-G117</f>
        <v>-251</v>
      </c>
      <c r="I117" s="0" t="n">
        <f aca="false">IF(H117&lt;VLOOKUP(B117,Capacity!$D$3:$F$7,2,FALSE()),VLOOKUP(B117,Capacity!$D$3:$F$7,3,FALSE())-H117,0)</f>
        <v>1788</v>
      </c>
      <c r="J117" s="2" t="n">
        <f aca="false">IF(I117&gt;0,C117+3,"")</f>
        <v>46273</v>
      </c>
      <c r="K117" s="0" t="n">
        <f aca="false">IF(I117&gt;0,MAX($K$2:K116)+1,"")</f>
        <v>48</v>
      </c>
    </row>
    <row r="118" customFormat="false" ht="15" hidden="false" customHeight="false" outlineLevel="0" collapsed="false">
      <c r="A118" s="0" t="n">
        <f aca="false">'Demand Projection'!A118</f>
        <v>117</v>
      </c>
      <c r="B118" s="0" t="str">
        <f aca="false">'Demand Projection'!B118</f>
        <v>SKU PROD D</v>
      </c>
      <c r="C118" s="2" t="n">
        <f aca="false">'Demand Projection'!C118</f>
        <v>46271</v>
      </c>
      <c r="D118" s="0" t="n">
        <f aca="false">'Demand Projection'!D118</f>
        <v>477</v>
      </c>
      <c r="E118" s="0" t="n">
        <f aca="false">SUMIFS('Demand Projection'!$D$2:$D$169,'Demand Projection'!$B$2:$B$169,B118,'Demand Projection'!$C$2:$C$169,"&gt;="&amp;C118,'Demand Projection'!$C$2:$C$169,"&lt;="&amp;C118+5)</f>
        <v>477</v>
      </c>
      <c r="F118" s="0" t="n">
        <f aca="false">SUMIFS($I$2:I117,$B$2:B117,B118,$J$2:J117,"&lt;="&amp;C118)</f>
        <v>36703</v>
      </c>
      <c r="G118" s="0" t="n">
        <f aca="false">SUMIFS($D$2:D118,$B$2:B118,B118)</f>
        <v>37148</v>
      </c>
      <c r="H118" s="0" t="n">
        <f aca="false">VLOOKUP(B118,Warehouse!$B$2:$D$6,3,FALSE())+F118-G118</f>
        <v>3055</v>
      </c>
      <c r="I118" s="0" t="n">
        <f aca="false">IF(H118&lt;VLOOKUP(B118,Capacity!$D$3:$F$7,2,FALSE()),VLOOKUP(B118,Capacity!$D$3:$F$7,3,FALSE())-H118,0)</f>
        <v>0</v>
      </c>
      <c r="J118" s="2" t="str">
        <f aca="false">IF(I118&gt;0,C118+3,"")</f>
        <v/>
      </c>
      <c r="K118" s="0" t="str">
        <f aca="false">IF(I118&gt;0,MAX($K$2:K117)+1,"")</f>
        <v/>
      </c>
    </row>
    <row r="119" customFormat="false" ht="15" hidden="false" customHeight="false" outlineLevel="0" collapsed="false">
      <c r="A119" s="0" t="n">
        <f aca="false">'Demand Projection'!A119</f>
        <v>118</v>
      </c>
      <c r="B119" s="0" t="str">
        <f aca="false">'Demand Projection'!B119</f>
        <v>SKU PROD A</v>
      </c>
      <c r="C119" s="2" t="n">
        <f aca="false">'Demand Projection'!C119</f>
        <v>46272</v>
      </c>
      <c r="D119" s="0" t="n">
        <f aca="false">'Demand Projection'!D119</f>
        <v>793</v>
      </c>
      <c r="E119" s="0" t="n">
        <f aca="false">SUMIFS('Demand Projection'!$D$2:$D$169,'Demand Projection'!$B$2:$B$169,B119,'Demand Projection'!$C$2:$C$169,"&gt;="&amp;C119,'Demand Projection'!$C$2:$C$169,"&lt;="&amp;C119+5)</f>
        <v>793</v>
      </c>
      <c r="F119" s="0" t="n">
        <f aca="false">SUMIFS($I$2:I118,$B$2:B118,B119,$J$2:J118,"&lt;="&amp;C119)</f>
        <v>31749</v>
      </c>
      <c r="G119" s="0" t="n">
        <f aca="false">SUMIFS($D$2:D119,$B$2:B119,B119)</f>
        <v>29547</v>
      </c>
      <c r="H119" s="0" t="n">
        <f aca="false">VLOOKUP(B119,Warehouse!$B$2:$D$6,3,FALSE())+F119-G119</f>
        <v>4402</v>
      </c>
      <c r="I119" s="0" t="n">
        <f aca="false">IF(H119&lt;VLOOKUP(B119,Capacity!$D$3:$F$7,2,FALSE()),VLOOKUP(B119,Capacity!$D$3:$F$7,3,FALSE())-H119,0)</f>
        <v>0</v>
      </c>
      <c r="J119" s="2" t="str">
        <f aca="false">IF(I119&gt;0,C119+3,"")</f>
        <v/>
      </c>
      <c r="K119" s="0" t="str">
        <f aca="false">IF(I119&gt;0,MAX($K$2:K118)+1,"")</f>
        <v/>
      </c>
    </row>
    <row r="120" customFormat="false" ht="15" hidden="false" customHeight="false" outlineLevel="0" collapsed="false">
      <c r="A120" s="0" t="n">
        <f aca="false">'Demand Projection'!A120</f>
        <v>119</v>
      </c>
      <c r="B120" s="0" t="str">
        <f aca="false">'Demand Projection'!B120</f>
        <v>SKU PROD C</v>
      </c>
      <c r="C120" s="2" t="n">
        <f aca="false">'Demand Projection'!C120</f>
        <v>46274</v>
      </c>
      <c r="D120" s="0" t="n">
        <f aca="false">'Demand Projection'!D120</f>
        <v>397</v>
      </c>
      <c r="E120" s="0" t="n">
        <f aca="false">SUMIFS('Demand Projection'!$D$2:$D$169,'Demand Projection'!$B$2:$B$169,B120,'Demand Projection'!$C$2:$C$169,"&gt;="&amp;C120,'Demand Projection'!$C$2:$C$169,"&lt;="&amp;C120+5)</f>
        <v>397</v>
      </c>
      <c r="F120" s="0" t="n">
        <f aca="false">SUMIFS($I$2:I119,$B$2:B119,B120,$J$2:J119,"&lt;="&amp;C120)</f>
        <v>18150</v>
      </c>
      <c r="G120" s="0" t="n">
        <f aca="false">SUMIFS($D$2:D120,$B$2:B120,B120)</f>
        <v>18710</v>
      </c>
      <c r="H120" s="0" t="n">
        <f aca="false">VLOOKUP(B120,Warehouse!$B$2:$D$6,3,FALSE())+F120-G120</f>
        <v>1140</v>
      </c>
      <c r="I120" s="0" t="n">
        <f aca="false">IF(H120&lt;VLOOKUP(B120,Capacity!$D$3:$F$7,2,FALSE()),VLOOKUP(B120,Capacity!$D$3:$F$7,3,FALSE())-H120,0)</f>
        <v>0</v>
      </c>
      <c r="J120" s="2" t="str">
        <f aca="false">IF(I120&gt;0,C120+3,"")</f>
        <v/>
      </c>
      <c r="K120" s="0" t="str">
        <f aca="false">IF(I120&gt;0,MAX($K$2:K119)+1,"")</f>
        <v/>
      </c>
    </row>
    <row r="121" customFormat="false" ht="15" hidden="false" customHeight="false" outlineLevel="0" collapsed="false">
      <c r="A121" s="0" t="n">
        <f aca="false">'Demand Projection'!A121</f>
        <v>120</v>
      </c>
      <c r="B121" s="0" t="str">
        <f aca="false">'Demand Projection'!B121</f>
        <v>SKU PROD E</v>
      </c>
      <c r="C121" s="2" t="n">
        <f aca="false">'Demand Projection'!C121</f>
        <v>46277</v>
      </c>
      <c r="D121" s="0" t="n">
        <f aca="false">'Demand Projection'!D121</f>
        <v>263</v>
      </c>
      <c r="E121" s="0" t="n">
        <f aca="false">SUMIFS('Demand Projection'!$D$2:$D$169,'Demand Projection'!$B$2:$B$169,B121,'Demand Projection'!$C$2:$C$169,"&gt;="&amp;C121,'Demand Projection'!$C$2:$C$169,"&lt;="&amp;C121+5)</f>
        <v>263</v>
      </c>
      <c r="F121" s="0" t="n">
        <f aca="false">SUMIFS($I$2:I120,$B$2:B120,B121,$J$2:J120,"&lt;="&amp;C121)</f>
        <v>19817</v>
      </c>
      <c r="G121" s="0" t="n">
        <f aca="false">SUMIFS($D$2:D121,$B$2:B121,B121)</f>
        <v>20023</v>
      </c>
      <c r="H121" s="0" t="n">
        <f aca="false">VLOOKUP(B121,Warehouse!$B$2:$D$6,3,FALSE())+F121-G121</f>
        <v>2094</v>
      </c>
      <c r="I121" s="0" t="n">
        <f aca="false">IF(H121&lt;VLOOKUP(B121,Capacity!$D$3:$F$7,2,FALSE()),VLOOKUP(B121,Capacity!$D$3:$F$7,3,FALSE())-H121,0)</f>
        <v>0</v>
      </c>
      <c r="J121" s="2" t="str">
        <f aca="false">IF(I121&gt;0,C121+3,"")</f>
        <v/>
      </c>
      <c r="K121" s="0" t="str">
        <f aca="false">IF(I121&gt;0,MAX($K$2:K120)+1,"")</f>
        <v/>
      </c>
    </row>
    <row r="122" customFormat="false" ht="15" hidden="false" customHeight="false" outlineLevel="0" collapsed="false">
      <c r="A122" s="0" t="n">
        <f aca="false">'Demand Projection'!A122</f>
        <v>121</v>
      </c>
      <c r="B122" s="0" t="str">
        <f aca="false">'Demand Projection'!B122</f>
        <v>SKU PROD B</v>
      </c>
      <c r="C122" s="2" t="n">
        <f aca="false">'Demand Projection'!C122</f>
        <v>46278</v>
      </c>
      <c r="D122" s="0" t="n">
        <f aca="false">'Demand Projection'!D122</f>
        <v>395</v>
      </c>
      <c r="E122" s="0" t="n">
        <f aca="false">SUMIFS('Demand Projection'!$D$2:$D$169,'Demand Projection'!$B$2:$B$169,B122,'Demand Projection'!$C$2:$C$169,"&gt;="&amp;C122,'Demand Projection'!$C$2:$C$169,"&lt;="&amp;C122+5)</f>
        <v>395</v>
      </c>
      <c r="F122" s="0" t="n">
        <f aca="false">SUMIFS($I$2:I121,$B$2:B121,B122,$J$2:J121,"&lt;="&amp;C122)</f>
        <v>51921</v>
      </c>
      <c r="G122" s="0" t="n">
        <f aca="false">SUMIFS($D$2:D122,$B$2:B122,B122)</f>
        <v>58494</v>
      </c>
      <c r="H122" s="0" t="n">
        <f aca="false">VLOOKUP(B122,Warehouse!$B$2:$D$6,3,FALSE())+F122-G122</f>
        <v>1427</v>
      </c>
      <c r="I122" s="0" t="n">
        <f aca="false">IF(H122&lt;VLOOKUP(B122,Capacity!$D$3:$F$7,2,FALSE()),VLOOKUP(B122,Capacity!$D$3:$F$7,3,FALSE())-H122,0)</f>
        <v>0</v>
      </c>
      <c r="J122" s="2" t="str">
        <f aca="false">IF(I122&gt;0,C122+3,"")</f>
        <v/>
      </c>
      <c r="K122" s="0" t="str">
        <f aca="false">IF(I122&gt;0,MAX($K$2:K121)+1,"")</f>
        <v/>
      </c>
    </row>
    <row r="123" customFormat="false" ht="15" hidden="false" customHeight="false" outlineLevel="0" collapsed="false">
      <c r="A123" s="0" t="n">
        <f aca="false">'Demand Projection'!A123</f>
        <v>122</v>
      </c>
      <c r="B123" s="0" t="str">
        <f aca="false">'Demand Projection'!B123</f>
        <v>SKU PROD D</v>
      </c>
      <c r="C123" s="2" t="n">
        <f aca="false">'Demand Projection'!C123</f>
        <v>46282</v>
      </c>
      <c r="D123" s="0" t="n">
        <f aca="false">'Demand Projection'!D123</f>
        <v>561</v>
      </c>
      <c r="E123" s="0" t="n">
        <f aca="false">SUMIFS('Demand Projection'!$D$2:$D$169,'Demand Projection'!$B$2:$B$169,B123,'Demand Projection'!$C$2:$C$169,"&gt;="&amp;C123,'Demand Projection'!$C$2:$C$169,"&lt;="&amp;C123+5)</f>
        <v>561</v>
      </c>
      <c r="F123" s="0" t="n">
        <f aca="false">SUMIFS($I$2:I122,$B$2:B122,B123,$J$2:J122,"&lt;="&amp;C123)</f>
        <v>36703</v>
      </c>
      <c r="G123" s="0" t="n">
        <f aca="false">SUMIFS($D$2:D123,$B$2:B123,B123)</f>
        <v>37709</v>
      </c>
      <c r="H123" s="0" t="n">
        <f aca="false">VLOOKUP(B123,Warehouse!$B$2:$D$6,3,FALSE())+F123-G123</f>
        <v>2494</v>
      </c>
      <c r="I123" s="0" t="n">
        <f aca="false">IF(H123&lt;VLOOKUP(B123,Capacity!$D$3:$F$7,2,FALSE()),VLOOKUP(B123,Capacity!$D$3:$F$7,3,FALSE())-H123,0)</f>
        <v>0</v>
      </c>
      <c r="J123" s="2" t="str">
        <f aca="false">IF(I123&gt;0,C123+3,"")</f>
        <v/>
      </c>
      <c r="K123" s="0" t="str">
        <f aca="false">IF(I123&gt;0,MAX($K$2:K122)+1,"")</f>
        <v/>
      </c>
    </row>
    <row r="124" customFormat="false" ht="15" hidden="false" customHeight="false" outlineLevel="0" collapsed="false">
      <c r="A124" s="0" t="n">
        <f aca="false">'Demand Projection'!A124</f>
        <v>123</v>
      </c>
      <c r="B124" s="0" t="str">
        <f aca="false">'Demand Projection'!B124</f>
        <v>SKU PROD C</v>
      </c>
      <c r="C124" s="2" t="n">
        <f aca="false">'Demand Projection'!C124</f>
        <v>46285</v>
      </c>
      <c r="D124" s="0" t="n">
        <f aca="false">'Demand Projection'!D124</f>
        <v>516</v>
      </c>
      <c r="E124" s="0" t="n">
        <f aca="false">SUMIFS('Demand Projection'!$D$2:$D$169,'Demand Projection'!$B$2:$B$169,B124,'Demand Projection'!$C$2:$C$169,"&gt;="&amp;C124,'Demand Projection'!$C$2:$C$169,"&lt;="&amp;C124+5)</f>
        <v>516</v>
      </c>
      <c r="F124" s="0" t="n">
        <f aca="false">SUMIFS($I$2:I123,$B$2:B123,B124,$J$2:J123,"&lt;="&amp;C124)</f>
        <v>18150</v>
      </c>
      <c r="G124" s="0" t="n">
        <f aca="false">SUMIFS($D$2:D124,$B$2:B124,B124)</f>
        <v>19226</v>
      </c>
      <c r="H124" s="0" t="n">
        <f aca="false">VLOOKUP(B124,Warehouse!$B$2:$D$6,3,FALSE())+F124-G124</f>
        <v>624</v>
      </c>
      <c r="I124" s="0" t="n">
        <f aca="false">IF(H124&lt;VLOOKUP(B124,Capacity!$D$3:$F$7,2,FALSE()),VLOOKUP(B124,Capacity!$D$3:$F$7,3,FALSE())-H124,0)</f>
        <v>0</v>
      </c>
      <c r="J124" s="2" t="str">
        <f aca="false">IF(I124&gt;0,C124+3,"")</f>
        <v/>
      </c>
      <c r="K124" s="0" t="str">
        <f aca="false">IF(I124&gt;0,MAX($K$2:K123)+1,"")</f>
        <v/>
      </c>
    </row>
    <row r="125" customFormat="false" ht="15" hidden="false" customHeight="false" outlineLevel="0" collapsed="false">
      <c r="A125" s="0" t="n">
        <f aca="false">'Demand Projection'!A125</f>
        <v>124</v>
      </c>
      <c r="B125" s="0" t="str">
        <f aca="false">'Demand Projection'!B125</f>
        <v>SKU PROD A</v>
      </c>
      <c r="C125" s="2" t="n">
        <f aca="false">'Demand Projection'!C125</f>
        <v>46289</v>
      </c>
      <c r="D125" s="0" t="n">
        <f aca="false">'Demand Projection'!D125</f>
        <v>713</v>
      </c>
      <c r="E125" s="0" t="n">
        <f aca="false">SUMIFS('Demand Projection'!$D$2:$D$169,'Demand Projection'!$B$2:$B$169,B125,'Demand Projection'!$C$2:$C$169,"&gt;="&amp;C125,'Demand Projection'!$C$2:$C$169,"&lt;="&amp;C125+5)</f>
        <v>713</v>
      </c>
      <c r="F125" s="0" t="n">
        <f aca="false">SUMIFS($I$2:I124,$B$2:B124,B125,$J$2:J124,"&lt;="&amp;C125)</f>
        <v>31749</v>
      </c>
      <c r="G125" s="0" t="n">
        <f aca="false">SUMIFS($D$2:D125,$B$2:B125,B125)</f>
        <v>30260</v>
      </c>
      <c r="H125" s="0" t="n">
        <f aca="false">VLOOKUP(B125,Warehouse!$B$2:$D$6,3,FALSE())+F125-G125</f>
        <v>3689</v>
      </c>
      <c r="I125" s="0" t="n">
        <f aca="false">IF(H125&lt;VLOOKUP(B125,Capacity!$D$3:$F$7,2,FALSE()),VLOOKUP(B125,Capacity!$D$3:$F$7,3,FALSE())-H125,0)</f>
        <v>0</v>
      </c>
      <c r="J125" s="2" t="str">
        <f aca="false">IF(I125&gt;0,C125+3,"")</f>
        <v/>
      </c>
      <c r="K125" s="0" t="str">
        <f aca="false">IF(I125&gt;0,MAX($K$2:K124)+1,"")</f>
        <v/>
      </c>
    </row>
    <row r="126" customFormat="false" ht="15" hidden="false" customHeight="false" outlineLevel="0" collapsed="false">
      <c r="A126" s="0" t="n">
        <f aca="false">'Demand Projection'!A126</f>
        <v>125</v>
      </c>
      <c r="B126" s="0" t="str">
        <f aca="false">'Demand Projection'!B126</f>
        <v>SKU PROD D</v>
      </c>
      <c r="C126" s="2" t="n">
        <f aca="false">'Demand Projection'!C126</f>
        <v>46293</v>
      </c>
      <c r="D126" s="0" t="n">
        <f aca="false">'Demand Projection'!D126</f>
        <v>3130</v>
      </c>
      <c r="E126" s="0" t="n">
        <f aca="false">SUMIFS('Demand Projection'!$D$2:$D$169,'Demand Projection'!$B$2:$B$169,B126,'Demand Projection'!$C$2:$C$169,"&gt;="&amp;C126,'Demand Projection'!$C$2:$C$169,"&lt;="&amp;C126+5)</f>
        <v>3130</v>
      </c>
      <c r="F126" s="0" t="n">
        <f aca="false">SUMIFS($I$2:I125,$B$2:B125,B126,$J$2:J125,"&lt;="&amp;C126)</f>
        <v>36703</v>
      </c>
      <c r="G126" s="0" t="n">
        <f aca="false">SUMIFS($D$2:D126,$B$2:B126,B126)</f>
        <v>40839</v>
      </c>
      <c r="H126" s="0" t="n">
        <f aca="false">VLOOKUP(B126,Warehouse!$B$2:$D$6,3,FALSE())+F126-G126</f>
        <v>-636</v>
      </c>
      <c r="I126" s="0" t="n">
        <f aca="false">IF(H126&lt;VLOOKUP(B126,Capacity!$D$3:$F$7,2,FALSE()),VLOOKUP(B126,Capacity!$D$3:$F$7,3,FALSE())-H126,0)</f>
        <v>4168</v>
      </c>
      <c r="J126" s="2" t="n">
        <f aca="false">IF(I126&gt;0,C126+3,"")</f>
        <v>46296</v>
      </c>
      <c r="K126" s="0" t="n">
        <f aca="false">IF(I126&gt;0,MAX($K$2:K125)+1,"")</f>
        <v>49</v>
      </c>
    </row>
    <row r="127" customFormat="false" ht="15" hidden="false" customHeight="false" outlineLevel="0" collapsed="false">
      <c r="A127" s="0" t="n">
        <f aca="false">'Demand Projection'!A127</f>
        <v>126</v>
      </c>
      <c r="B127" s="0" t="str">
        <f aca="false">'Demand Projection'!B127</f>
        <v>SKU PROD E</v>
      </c>
      <c r="C127" s="2" t="n">
        <f aca="false">'Demand Projection'!C127</f>
        <v>46293</v>
      </c>
      <c r="D127" s="0" t="n">
        <f aca="false">'Demand Projection'!D127</f>
        <v>2088</v>
      </c>
      <c r="E127" s="0" t="n">
        <f aca="false">SUMIFS('Demand Projection'!$D$2:$D$169,'Demand Projection'!$B$2:$B$169,B127,'Demand Projection'!$C$2:$C$169,"&gt;="&amp;C127,'Demand Projection'!$C$2:$C$169,"&lt;="&amp;C127+5)</f>
        <v>2088</v>
      </c>
      <c r="F127" s="0" t="n">
        <f aca="false">SUMIFS($I$2:I126,$B$2:B126,B127,$J$2:J126,"&lt;="&amp;C127)</f>
        <v>19817</v>
      </c>
      <c r="G127" s="0" t="n">
        <f aca="false">SUMIFS($D$2:D127,$B$2:B127,B127)</f>
        <v>22111</v>
      </c>
      <c r="H127" s="0" t="n">
        <f aca="false">VLOOKUP(B127,Warehouse!$B$2:$D$6,3,FALSE())+F127-G127</f>
        <v>6</v>
      </c>
      <c r="I127" s="0" t="n">
        <f aca="false">IF(H127&lt;VLOOKUP(B127,Capacity!$D$3:$F$7,2,FALSE()),VLOOKUP(B127,Capacity!$D$3:$F$7,3,FALSE())-H127,0)</f>
        <v>2351</v>
      </c>
      <c r="J127" s="2" t="n">
        <f aca="false">IF(I127&gt;0,C127+3,"")</f>
        <v>46296</v>
      </c>
      <c r="K127" s="0" t="n">
        <f aca="false">IF(I127&gt;0,MAX($K$2:K126)+1,"")</f>
        <v>50</v>
      </c>
    </row>
    <row r="128" customFormat="false" ht="15" hidden="false" customHeight="false" outlineLevel="0" collapsed="false">
      <c r="A128" s="0" t="n">
        <f aca="false">'Demand Projection'!A128</f>
        <v>127</v>
      </c>
      <c r="B128" s="0" t="str">
        <f aca="false">'Demand Projection'!B128</f>
        <v>SKU PROD A</v>
      </c>
      <c r="C128" s="2" t="n">
        <f aca="false">'Demand Projection'!C128</f>
        <v>46298</v>
      </c>
      <c r="D128" s="0" t="n">
        <f aca="false">'Demand Projection'!D128</f>
        <v>714</v>
      </c>
      <c r="E128" s="0" t="n">
        <f aca="false">SUMIFS('Demand Projection'!$D$2:$D$169,'Demand Projection'!$B$2:$B$169,B128,'Demand Projection'!$C$2:$C$169,"&gt;="&amp;C128,'Demand Projection'!$C$2:$C$169,"&lt;="&amp;C128+5)</f>
        <v>1715</v>
      </c>
      <c r="F128" s="0" t="n">
        <f aca="false">SUMIFS($I$2:I127,$B$2:B127,B128,$J$2:J127,"&lt;="&amp;C128)</f>
        <v>31749</v>
      </c>
      <c r="G128" s="0" t="n">
        <f aca="false">SUMIFS($D$2:D128,$B$2:B128,B128)</f>
        <v>30974</v>
      </c>
      <c r="H128" s="0" t="n">
        <f aca="false">VLOOKUP(B128,Warehouse!$B$2:$D$6,3,FALSE())+F128-G128</f>
        <v>2975</v>
      </c>
      <c r="I128" s="0" t="n">
        <f aca="false">IF(H128&lt;VLOOKUP(B128,Capacity!$D$3:$F$7,2,FALSE()),VLOOKUP(B128,Capacity!$D$3:$F$7,3,FALSE())-H128,0)</f>
        <v>0</v>
      </c>
      <c r="J128" s="2" t="str">
        <f aca="false">IF(I128&gt;0,C128+3,"")</f>
        <v/>
      </c>
      <c r="K128" s="0" t="str">
        <f aca="false">IF(I128&gt;0,MAX($K$2:K127)+1,"")</f>
        <v/>
      </c>
    </row>
    <row r="129" customFormat="false" ht="15" hidden="false" customHeight="false" outlineLevel="0" collapsed="false">
      <c r="A129" s="0" t="n">
        <f aca="false">'Demand Projection'!A129</f>
        <v>128</v>
      </c>
      <c r="B129" s="0" t="str">
        <f aca="false">'Demand Projection'!B129</f>
        <v>SKU PROD B</v>
      </c>
      <c r="C129" s="2" t="n">
        <f aca="false">'Demand Projection'!C129</f>
        <v>46298</v>
      </c>
      <c r="D129" s="0" t="n">
        <f aca="false">'Demand Projection'!D129</f>
        <v>4274</v>
      </c>
      <c r="E129" s="0" t="n">
        <f aca="false">SUMIFS('Demand Projection'!$D$2:$D$169,'Demand Projection'!$B$2:$B$169,B129,'Demand Projection'!$C$2:$C$169,"&gt;="&amp;C129,'Demand Projection'!$C$2:$C$169,"&lt;="&amp;C129+5)</f>
        <v>4274</v>
      </c>
      <c r="F129" s="0" t="n">
        <f aca="false">SUMIFS($I$2:I128,$B$2:B128,B129,$J$2:J128,"&lt;="&amp;C129)</f>
        <v>51921</v>
      </c>
      <c r="G129" s="0" t="n">
        <f aca="false">SUMIFS($D$2:D129,$B$2:B129,B129)</f>
        <v>62768</v>
      </c>
      <c r="H129" s="0" t="n">
        <f aca="false">VLOOKUP(B129,Warehouse!$B$2:$D$6,3,FALSE())+F129-G129</f>
        <v>-2847</v>
      </c>
      <c r="I129" s="0" t="n">
        <f aca="false">IF(H129&lt;VLOOKUP(B129,Capacity!$D$3:$F$7,2,FALSE()),VLOOKUP(B129,Capacity!$D$3:$F$7,3,FALSE())-H129,0)</f>
        <v>9417</v>
      </c>
      <c r="J129" s="2" t="n">
        <f aca="false">IF(I129&gt;0,C129+3,"")</f>
        <v>46301</v>
      </c>
      <c r="K129" s="0" t="n">
        <f aca="false">IF(I129&gt;0,MAX($K$2:K128)+1,"")</f>
        <v>51</v>
      </c>
    </row>
    <row r="130" customFormat="false" ht="15" hidden="false" customHeight="false" outlineLevel="0" collapsed="false">
      <c r="A130" s="0" t="n">
        <f aca="false">'Demand Projection'!A130</f>
        <v>129</v>
      </c>
      <c r="B130" s="0" t="str">
        <f aca="false">'Demand Projection'!B130</f>
        <v>SKU PROD A</v>
      </c>
      <c r="C130" s="2" t="n">
        <f aca="false">'Demand Projection'!C130</f>
        <v>46299</v>
      </c>
      <c r="D130" s="0" t="n">
        <f aca="false">'Demand Projection'!D130</f>
        <v>287</v>
      </c>
      <c r="E130" s="0" t="n">
        <f aca="false">SUMIFS('Demand Projection'!$D$2:$D$169,'Demand Projection'!$B$2:$B$169,B130,'Demand Projection'!$C$2:$C$169,"&gt;="&amp;C130,'Demand Projection'!$C$2:$C$169,"&lt;="&amp;C130+5)</f>
        <v>1001</v>
      </c>
      <c r="F130" s="0" t="n">
        <f aca="false">SUMIFS($I$2:I129,$B$2:B129,B130,$J$2:J129,"&lt;="&amp;C130)</f>
        <v>31749</v>
      </c>
      <c r="G130" s="0" t="n">
        <f aca="false">SUMIFS($D$2:D130,$B$2:B130,B130)</f>
        <v>31261</v>
      </c>
      <c r="H130" s="0" t="n">
        <f aca="false">VLOOKUP(B130,Warehouse!$B$2:$D$6,3,FALSE())+F130-G130</f>
        <v>2688</v>
      </c>
      <c r="I130" s="0" t="n">
        <f aca="false">IF(H130&lt;VLOOKUP(B130,Capacity!$D$3:$F$7,2,FALSE()),VLOOKUP(B130,Capacity!$D$3:$F$7,3,FALSE())-H130,0)</f>
        <v>0</v>
      </c>
      <c r="J130" s="2" t="str">
        <f aca="false">IF(I130&gt;0,C130+3,"")</f>
        <v/>
      </c>
      <c r="K130" s="0" t="str">
        <f aca="false">IF(I130&gt;0,MAX($K$2:K129)+1,"")</f>
        <v/>
      </c>
    </row>
    <row r="131" customFormat="false" ht="15" hidden="false" customHeight="false" outlineLevel="0" collapsed="false">
      <c r="A131" s="0" t="n">
        <f aca="false">'Demand Projection'!A131</f>
        <v>130</v>
      </c>
      <c r="B131" s="0" t="str">
        <f aca="false">'Demand Projection'!B131</f>
        <v>SKU PROD C</v>
      </c>
      <c r="C131" s="2" t="n">
        <f aca="false">'Demand Projection'!C131</f>
        <v>46300</v>
      </c>
      <c r="D131" s="0" t="n">
        <f aca="false">'Demand Projection'!D131</f>
        <v>643</v>
      </c>
      <c r="E131" s="0" t="n">
        <f aca="false">SUMIFS('Demand Projection'!$D$2:$D$169,'Demand Projection'!$B$2:$B$169,B131,'Demand Projection'!$C$2:$C$169,"&gt;="&amp;C131,'Demand Projection'!$C$2:$C$169,"&lt;="&amp;C131+5)</f>
        <v>1001</v>
      </c>
      <c r="F131" s="0" t="n">
        <f aca="false">SUMIFS($I$2:I130,$B$2:B130,B131,$J$2:J130,"&lt;="&amp;C131)</f>
        <v>18150</v>
      </c>
      <c r="G131" s="0" t="n">
        <f aca="false">SUMIFS($D$2:D131,$B$2:B131,B131)</f>
        <v>19869</v>
      </c>
      <c r="H131" s="0" t="n">
        <f aca="false">VLOOKUP(B131,Warehouse!$B$2:$D$6,3,FALSE())+F131-G131</f>
        <v>-19</v>
      </c>
      <c r="I131" s="0" t="n">
        <f aca="false">IF(H131&lt;VLOOKUP(B131,Capacity!$D$3:$F$7,2,FALSE()),VLOOKUP(B131,Capacity!$D$3:$F$7,3,FALSE())-H131,0)</f>
        <v>1556</v>
      </c>
      <c r="J131" s="2" t="n">
        <f aca="false">IF(I131&gt;0,C131+3,"")</f>
        <v>46303</v>
      </c>
      <c r="K131" s="0" t="n">
        <f aca="false">IF(I131&gt;0,MAX($K$2:K130)+1,"")</f>
        <v>52</v>
      </c>
    </row>
    <row r="132" customFormat="false" ht="15" hidden="false" customHeight="false" outlineLevel="0" collapsed="false">
      <c r="A132" s="0" t="n">
        <f aca="false">'Demand Projection'!A132</f>
        <v>131</v>
      </c>
      <c r="B132" s="0" t="str">
        <f aca="false">'Demand Projection'!B132</f>
        <v>SKU PROD D</v>
      </c>
      <c r="C132" s="2" t="n">
        <f aca="false">'Demand Projection'!C132</f>
        <v>46301</v>
      </c>
      <c r="D132" s="0" t="n">
        <f aca="false">'Demand Projection'!D132</f>
        <v>430</v>
      </c>
      <c r="E132" s="0" t="n">
        <f aca="false">SUMIFS('Demand Projection'!$D$2:$D$169,'Demand Projection'!$B$2:$B$169,B132,'Demand Projection'!$C$2:$C$169,"&gt;="&amp;C132,'Demand Projection'!$C$2:$C$169,"&lt;="&amp;C132+5)</f>
        <v>430</v>
      </c>
      <c r="F132" s="0" t="n">
        <f aca="false">SUMIFS($I$2:I131,$B$2:B131,B132,$J$2:J131,"&lt;="&amp;C132)</f>
        <v>40871</v>
      </c>
      <c r="G132" s="0" t="n">
        <f aca="false">SUMIFS($D$2:D132,$B$2:B132,B132)</f>
        <v>41269</v>
      </c>
      <c r="H132" s="0" t="n">
        <f aca="false">VLOOKUP(B132,Warehouse!$B$2:$D$6,3,FALSE())+F132-G132</f>
        <v>3102</v>
      </c>
      <c r="I132" s="0" t="n">
        <f aca="false">IF(H132&lt;VLOOKUP(B132,Capacity!$D$3:$F$7,2,FALSE()),VLOOKUP(B132,Capacity!$D$3:$F$7,3,FALSE())-H132,0)</f>
        <v>0</v>
      </c>
      <c r="J132" s="2" t="str">
        <f aca="false">IF(I132&gt;0,C132+3,"")</f>
        <v/>
      </c>
      <c r="K132" s="0" t="str">
        <f aca="false">IF(I132&gt;0,MAX($K$2:K131)+1,"")</f>
        <v/>
      </c>
    </row>
    <row r="133" customFormat="false" ht="15" hidden="false" customHeight="false" outlineLevel="0" collapsed="false">
      <c r="A133" s="0" t="n">
        <f aca="false">'Demand Projection'!A133</f>
        <v>132</v>
      </c>
      <c r="B133" s="0" t="str">
        <f aca="false">'Demand Projection'!B133</f>
        <v>SKU PROD A</v>
      </c>
      <c r="C133" s="2" t="n">
        <f aca="false">'Demand Projection'!C133</f>
        <v>46302</v>
      </c>
      <c r="D133" s="0" t="n">
        <f aca="false">'Demand Projection'!D133</f>
        <v>714</v>
      </c>
      <c r="E133" s="0" t="n">
        <f aca="false">SUMIFS('Demand Projection'!$D$2:$D$169,'Demand Projection'!$B$2:$B$169,B133,'Demand Projection'!$C$2:$C$169,"&gt;="&amp;C133,'Demand Projection'!$C$2:$C$169,"&lt;="&amp;C133+5)</f>
        <v>714</v>
      </c>
      <c r="F133" s="0" t="n">
        <f aca="false">SUMIFS($I$2:I132,$B$2:B132,B133,$J$2:J132,"&lt;="&amp;C133)</f>
        <v>31749</v>
      </c>
      <c r="G133" s="0" t="n">
        <f aca="false">SUMIFS($D$2:D133,$B$2:B133,B133)</f>
        <v>31975</v>
      </c>
      <c r="H133" s="0" t="n">
        <f aca="false">VLOOKUP(B133,Warehouse!$B$2:$D$6,3,FALSE())+F133-G133</f>
        <v>1974</v>
      </c>
      <c r="I133" s="0" t="n">
        <f aca="false">IF(H133&lt;VLOOKUP(B133,Capacity!$D$3:$F$7,2,FALSE()),VLOOKUP(B133,Capacity!$D$3:$F$7,3,FALSE())-H133,0)</f>
        <v>0</v>
      </c>
      <c r="J133" s="2" t="str">
        <f aca="false">IF(I133&gt;0,C133+3,"")</f>
        <v/>
      </c>
      <c r="K133" s="0" t="str">
        <f aca="false">IF(I133&gt;0,MAX($K$2:K132)+1,"")</f>
        <v/>
      </c>
    </row>
    <row r="134" customFormat="false" ht="15" hidden="false" customHeight="false" outlineLevel="0" collapsed="false">
      <c r="A134" s="0" t="n">
        <f aca="false">'Demand Projection'!A134</f>
        <v>133</v>
      </c>
      <c r="B134" s="0" t="str">
        <f aca="false">'Demand Projection'!B134</f>
        <v>SKU PROD C</v>
      </c>
      <c r="C134" s="2" t="n">
        <f aca="false">'Demand Projection'!C134</f>
        <v>46304</v>
      </c>
      <c r="D134" s="0" t="n">
        <f aca="false">'Demand Projection'!D134</f>
        <v>358</v>
      </c>
      <c r="E134" s="0" t="n">
        <f aca="false">SUMIFS('Demand Projection'!$D$2:$D$169,'Demand Projection'!$B$2:$B$169,B134,'Demand Projection'!$C$2:$C$169,"&gt;="&amp;C134,'Demand Projection'!$C$2:$C$169,"&lt;="&amp;C134+5)</f>
        <v>358</v>
      </c>
      <c r="F134" s="0" t="n">
        <f aca="false">SUMIFS($I$2:I133,$B$2:B133,B134,$J$2:J133,"&lt;="&amp;C134)</f>
        <v>19706</v>
      </c>
      <c r="G134" s="0" t="n">
        <f aca="false">SUMIFS($D$2:D134,$B$2:B134,B134)</f>
        <v>20227</v>
      </c>
      <c r="H134" s="0" t="n">
        <f aca="false">VLOOKUP(B134,Warehouse!$B$2:$D$6,3,FALSE())+F134-G134</f>
        <v>1179</v>
      </c>
      <c r="I134" s="0" t="n">
        <f aca="false">IF(H134&lt;VLOOKUP(B134,Capacity!$D$3:$F$7,2,FALSE()),VLOOKUP(B134,Capacity!$D$3:$F$7,3,FALSE())-H134,0)</f>
        <v>0</v>
      </c>
      <c r="J134" s="2" t="str">
        <f aca="false">IF(I134&gt;0,C134+3,"")</f>
        <v/>
      </c>
      <c r="K134" s="0" t="str">
        <f aca="false">IF(I134&gt;0,MAX($K$2:K133)+1,"")</f>
        <v/>
      </c>
    </row>
    <row r="135" customFormat="false" ht="15" hidden="false" customHeight="false" outlineLevel="0" collapsed="false">
      <c r="A135" s="0" t="n">
        <f aca="false">'Demand Projection'!A135</f>
        <v>134</v>
      </c>
      <c r="B135" s="0" t="str">
        <f aca="false">'Demand Projection'!B135</f>
        <v>SKU PROD E</v>
      </c>
      <c r="C135" s="2" t="n">
        <f aca="false">'Demand Projection'!C135</f>
        <v>46307</v>
      </c>
      <c r="D135" s="0" t="n">
        <f aca="false">'Demand Projection'!D135</f>
        <v>250</v>
      </c>
      <c r="E135" s="0" t="n">
        <f aca="false">SUMIFS('Demand Projection'!$D$2:$D$169,'Demand Projection'!$B$2:$B$169,B135,'Demand Projection'!$C$2:$C$169,"&gt;="&amp;C135,'Demand Projection'!$C$2:$C$169,"&lt;="&amp;C135+5)</f>
        <v>250</v>
      </c>
      <c r="F135" s="0" t="n">
        <f aca="false">SUMIFS($I$2:I134,$B$2:B134,B135,$J$2:J134,"&lt;="&amp;C135)</f>
        <v>22168</v>
      </c>
      <c r="G135" s="0" t="n">
        <f aca="false">SUMIFS($D$2:D135,$B$2:B135,B135)</f>
        <v>22361</v>
      </c>
      <c r="H135" s="0" t="n">
        <f aca="false">VLOOKUP(B135,Warehouse!$B$2:$D$6,3,FALSE())+F135-G135</f>
        <v>2107</v>
      </c>
      <c r="I135" s="0" t="n">
        <f aca="false">IF(H135&lt;VLOOKUP(B135,Capacity!$D$3:$F$7,2,FALSE()),VLOOKUP(B135,Capacity!$D$3:$F$7,3,FALSE())-H135,0)</f>
        <v>0</v>
      </c>
      <c r="J135" s="2" t="str">
        <f aca="false">IF(I135&gt;0,C135+3,"")</f>
        <v/>
      </c>
      <c r="K135" s="0" t="str">
        <f aca="false">IF(I135&gt;0,MAX($K$2:K134)+1,"")</f>
        <v/>
      </c>
    </row>
    <row r="136" customFormat="false" ht="15" hidden="false" customHeight="false" outlineLevel="0" collapsed="false">
      <c r="A136" s="0" t="n">
        <f aca="false">'Demand Projection'!A136</f>
        <v>135</v>
      </c>
      <c r="B136" s="0" t="str">
        <f aca="false">'Demand Projection'!B136</f>
        <v>SKU PROD B</v>
      </c>
      <c r="C136" s="2" t="n">
        <f aca="false">'Demand Projection'!C136</f>
        <v>46308</v>
      </c>
      <c r="D136" s="0" t="n">
        <f aca="false">'Demand Projection'!D136</f>
        <v>376</v>
      </c>
      <c r="E136" s="0" t="n">
        <f aca="false">SUMIFS('Demand Projection'!$D$2:$D$169,'Demand Projection'!$B$2:$B$169,B136,'Demand Projection'!$C$2:$C$169,"&gt;="&amp;C136,'Demand Projection'!$C$2:$C$169,"&lt;="&amp;C136+5)</f>
        <v>376</v>
      </c>
      <c r="F136" s="0" t="n">
        <f aca="false">SUMIFS($I$2:I135,$B$2:B135,B136,$J$2:J135,"&lt;="&amp;C136)</f>
        <v>61338</v>
      </c>
      <c r="G136" s="0" t="n">
        <f aca="false">SUMIFS($D$2:D136,$B$2:B136,B136)</f>
        <v>63144</v>
      </c>
      <c r="H136" s="0" t="n">
        <f aca="false">VLOOKUP(B136,Warehouse!$B$2:$D$6,3,FALSE())+F136-G136</f>
        <v>6194</v>
      </c>
      <c r="I136" s="0" t="n">
        <f aca="false">IF(H136&lt;VLOOKUP(B136,Capacity!$D$3:$F$7,2,FALSE()),VLOOKUP(B136,Capacity!$D$3:$F$7,3,FALSE())-H136,0)</f>
        <v>0</v>
      </c>
      <c r="J136" s="2" t="str">
        <f aca="false">IF(I136&gt;0,C136+3,"")</f>
        <v/>
      </c>
      <c r="K136" s="0" t="str">
        <f aca="false">IF(I136&gt;0,MAX($K$2:K135)+1,"")</f>
        <v/>
      </c>
    </row>
    <row r="137" customFormat="false" ht="15" hidden="false" customHeight="false" outlineLevel="0" collapsed="false">
      <c r="A137" s="0" t="n">
        <f aca="false">'Demand Projection'!A137</f>
        <v>136</v>
      </c>
      <c r="B137" s="0" t="str">
        <f aca="false">'Demand Projection'!B137</f>
        <v>SKU PROD D</v>
      </c>
      <c r="C137" s="2" t="n">
        <f aca="false">'Demand Projection'!C137</f>
        <v>46312</v>
      </c>
      <c r="D137" s="0" t="n">
        <f aca="false">'Demand Projection'!D137</f>
        <v>533</v>
      </c>
      <c r="E137" s="0" t="n">
        <f aca="false">SUMIFS('Demand Projection'!$D$2:$D$169,'Demand Projection'!$B$2:$B$169,B137,'Demand Projection'!$C$2:$C$169,"&gt;="&amp;C137,'Demand Projection'!$C$2:$C$169,"&lt;="&amp;C137+5)</f>
        <v>533</v>
      </c>
      <c r="F137" s="0" t="n">
        <f aca="false">SUMIFS($I$2:I136,$B$2:B136,B137,$J$2:J136,"&lt;="&amp;C137)</f>
        <v>40871</v>
      </c>
      <c r="G137" s="0" t="n">
        <f aca="false">SUMIFS($D$2:D137,$B$2:B137,B137)</f>
        <v>41802</v>
      </c>
      <c r="H137" s="0" t="n">
        <f aca="false">VLOOKUP(B137,Warehouse!$B$2:$D$6,3,FALSE())+F137-G137</f>
        <v>2569</v>
      </c>
      <c r="I137" s="0" t="n">
        <f aca="false">IF(H137&lt;VLOOKUP(B137,Capacity!$D$3:$F$7,2,FALSE()),VLOOKUP(B137,Capacity!$D$3:$F$7,3,FALSE())-H137,0)</f>
        <v>0</v>
      </c>
      <c r="J137" s="2" t="str">
        <f aca="false">IF(I137&gt;0,C137+3,"")</f>
        <v/>
      </c>
      <c r="K137" s="0" t="str">
        <f aca="false">IF(I137&gt;0,MAX($K$2:K136)+1,"")</f>
        <v/>
      </c>
    </row>
    <row r="138" customFormat="false" ht="15" hidden="false" customHeight="false" outlineLevel="0" collapsed="false">
      <c r="A138" s="0" t="n">
        <f aca="false">'Demand Projection'!A138</f>
        <v>137</v>
      </c>
      <c r="B138" s="0" t="str">
        <f aca="false">'Demand Projection'!B138</f>
        <v>SKU PROD C</v>
      </c>
      <c r="C138" s="2" t="n">
        <f aca="false">'Demand Projection'!C138</f>
        <v>46315</v>
      </c>
      <c r="D138" s="0" t="n">
        <f aca="false">'Demand Projection'!D138</f>
        <v>491</v>
      </c>
      <c r="E138" s="0" t="n">
        <f aca="false">SUMIFS('Demand Projection'!$D$2:$D$169,'Demand Projection'!$B$2:$B$169,B138,'Demand Projection'!$C$2:$C$169,"&gt;="&amp;C138,'Demand Projection'!$C$2:$C$169,"&lt;="&amp;C138+5)</f>
        <v>491</v>
      </c>
      <c r="F138" s="0" t="n">
        <f aca="false">SUMIFS($I$2:I137,$B$2:B137,B138,$J$2:J137,"&lt;="&amp;C138)</f>
        <v>19706</v>
      </c>
      <c r="G138" s="0" t="n">
        <f aca="false">SUMIFS($D$2:D138,$B$2:B138,B138)</f>
        <v>20718</v>
      </c>
      <c r="H138" s="0" t="n">
        <f aca="false">VLOOKUP(B138,Warehouse!$B$2:$D$6,3,FALSE())+F138-G138</f>
        <v>688</v>
      </c>
      <c r="I138" s="0" t="n">
        <f aca="false">IF(H138&lt;VLOOKUP(B138,Capacity!$D$3:$F$7,2,FALSE()),VLOOKUP(B138,Capacity!$D$3:$F$7,3,FALSE())-H138,0)</f>
        <v>0</v>
      </c>
      <c r="J138" s="2" t="str">
        <f aca="false">IF(I138&gt;0,C138+3,"")</f>
        <v/>
      </c>
      <c r="K138" s="0" t="str">
        <f aca="false">IF(I138&gt;0,MAX($K$2:K137)+1,"")</f>
        <v/>
      </c>
    </row>
    <row r="139" customFormat="false" ht="15" hidden="false" customHeight="false" outlineLevel="0" collapsed="false">
      <c r="A139" s="0" t="n">
        <f aca="false">'Demand Projection'!A139</f>
        <v>138</v>
      </c>
      <c r="B139" s="0" t="str">
        <f aca="false">'Demand Projection'!B139</f>
        <v>SKU PROD A</v>
      </c>
      <c r="C139" s="2" t="n">
        <f aca="false">'Demand Projection'!C139</f>
        <v>46319</v>
      </c>
      <c r="D139" s="0" t="n">
        <f aca="false">'Demand Projection'!D139</f>
        <v>678</v>
      </c>
      <c r="E139" s="0" t="n">
        <f aca="false">SUMIFS('Demand Projection'!$D$2:$D$169,'Demand Projection'!$B$2:$B$169,B139,'Demand Projection'!$C$2:$C$169,"&gt;="&amp;C139,'Demand Projection'!$C$2:$C$169,"&lt;="&amp;C139+5)</f>
        <v>678</v>
      </c>
      <c r="F139" s="0" t="n">
        <f aca="false">SUMIFS($I$2:I138,$B$2:B138,B139,$J$2:J138,"&lt;="&amp;C139)</f>
        <v>31749</v>
      </c>
      <c r="G139" s="0" t="n">
        <f aca="false">SUMIFS($D$2:D139,$B$2:B139,B139)</f>
        <v>32653</v>
      </c>
      <c r="H139" s="0" t="n">
        <f aca="false">VLOOKUP(B139,Warehouse!$B$2:$D$6,3,FALSE())+F139-G139</f>
        <v>1296</v>
      </c>
      <c r="I139" s="0" t="n">
        <f aca="false">IF(H139&lt;VLOOKUP(B139,Capacity!$D$3:$F$7,2,FALSE()),VLOOKUP(B139,Capacity!$D$3:$F$7,3,FALSE())-H139,0)</f>
        <v>0</v>
      </c>
      <c r="J139" s="2" t="str">
        <f aca="false">IF(I139&gt;0,C139+3,"")</f>
        <v/>
      </c>
      <c r="K139" s="0" t="str">
        <f aca="false">IF(I139&gt;0,MAX($K$2:K138)+1,"")</f>
        <v/>
      </c>
    </row>
    <row r="140" customFormat="false" ht="15" hidden="false" customHeight="false" outlineLevel="0" collapsed="false">
      <c r="A140" s="0" t="n">
        <f aca="false">'Demand Projection'!A140</f>
        <v>139</v>
      </c>
      <c r="B140" s="0" t="str">
        <f aca="false">'Demand Projection'!B140</f>
        <v>SKU PROD D</v>
      </c>
      <c r="C140" s="2" t="n">
        <f aca="false">'Demand Projection'!C140</f>
        <v>46323</v>
      </c>
      <c r="D140" s="0" t="n">
        <f aca="false">'Demand Projection'!D140</f>
        <v>2974</v>
      </c>
      <c r="E140" s="0" t="n">
        <f aca="false">SUMIFS('Demand Projection'!$D$2:$D$169,'Demand Projection'!$B$2:$B$169,B140,'Demand Projection'!$C$2:$C$169,"&gt;="&amp;C140,'Demand Projection'!$C$2:$C$169,"&lt;="&amp;C140+5)</f>
        <v>2974</v>
      </c>
      <c r="F140" s="0" t="n">
        <f aca="false">SUMIFS($I$2:I139,$B$2:B139,B140,$J$2:J139,"&lt;="&amp;C140)</f>
        <v>40871</v>
      </c>
      <c r="G140" s="0" t="n">
        <f aca="false">SUMIFS($D$2:D140,$B$2:B140,B140)</f>
        <v>44776</v>
      </c>
      <c r="H140" s="0" t="n">
        <f aca="false">VLOOKUP(B140,Warehouse!$B$2:$D$6,3,FALSE())+F140-G140</f>
        <v>-405</v>
      </c>
      <c r="I140" s="0" t="n">
        <f aca="false">IF(H140&lt;VLOOKUP(B140,Capacity!$D$3:$F$7,2,FALSE()),VLOOKUP(B140,Capacity!$D$3:$F$7,3,FALSE())-H140,0)</f>
        <v>3937</v>
      </c>
      <c r="J140" s="2" t="n">
        <f aca="false">IF(I140&gt;0,C140+3,"")</f>
        <v>46326</v>
      </c>
      <c r="K140" s="0" t="n">
        <f aca="false">IF(I140&gt;0,MAX($K$2:K139)+1,"")</f>
        <v>53</v>
      </c>
    </row>
    <row r="141" customFormat="false" ht="15" hidden="false" customHeight="false" outlineLevel="0" collapsed="false">
      <c r="A141" s="0" t="n">
        <f aca="false">'Demand Projection'!A141</f>
        <v>140</v>
      </c>
      <c r="B141" s="0" t="str">
        <f aca="false">'Demand Projection'!B141</f>
        <v>SKU PROD E</v>
      </c>
      <c r="C141" s="2" t="n">
        <f aca="false">'Demand Projection'!C141</f>
        <v>46323</v>
      </c>
      <c r="D141" s="0" t="n">
        <f aca="false">'Demand Projection'!D141</f>
        <v>1984</v>
      </c>
      <c r="E141" s="0" t="n">
        <f aca="false">SUMIFS('Demand Projection'!$D$2:$D$169,'Demand Projection'!$B$2:$B$169,B141,'Demand Projection'!$C$2:$C$169,"&gt;="&amp;C141,'Demand Projection'!$C$2:$C$169,"&lt;="&amp;C141+5)</f>
        <v>1984</v>
      </c>
      <c r="F141" s="0" t="n">
        <f aca="false">SUMIFS($I$2:I140,$B$2:B140,B141,$J$2:J140,"&lt;="&amp;C141)</f>
        <v>22168</v>
      </c>
      <c r="G141" s="0" t="n">
        <f aca="false">SUMIFS($D$2:D141,$B$2:B141,B141)</f>
        <v>24345</v>
      </c>
      <c r="H141" s="0" t="n">
        <f aca="false">VLOOKUP(B141,Warehouse!$B$2:$D$6,3,FALSE())+F141-G141</f>
        <v>123</v>
      </c>
      <c r="I141" s="0" t="n">
        <f aca="false">IF(H141&lt;VLOOKUP(B141,Capacity!$D$3:$F$7,2,FALSE()),VLOOKUP(B141,Capacity!$D$3:$F$7,3,FALSE())-H141,0)</f>
        <v>2234</v>
      </c>
      <c r="J141" s="2" t="n">
        <f aca="false">IF(I141&gt;0,C141+3,"")</f>
        <v>46326</v>
      </c>
      <c r="K141" s="0" t="n">
        <f aca="false">IF(I141&gt;0,MAX($K$2:K140)+1,"")</f>
        <v>54</v>
      </c>
    </row>
    <row r="142" customFormat="false" ht="15" hidden="false" customHeight="false" outlineLevel="0" collapsed="false">
      <c r="A142" s="0" t="n">
        <f aca="false">'Demand Projection'!A142</f>
        <v>141</v>
      </c>
      <c r="B142" s="0" t="str">
        <f aca="false">'Demand Projection'!B142</f>
        <v>SKU PROD A</v>
      </c>
      <c r="C142" s="2" t="n">
        <f aca="false">'Demand Projection'!C142</f>
        <v>46329</v>
      </c>
      <c r="D142" s="0" t="n">
        <f aca="false">'Demand Projection'!D142</f>
        <v>800</v>
      </c>
      <c r="E142" s="0" t="n">
        <f aca="false">SUMIFS('Demand Projection'!$D$2:$D$169,'Demand Projection'!$B$2:$B$169,B142,'Demand Projection'!$C$2:$C$169,"&gt;="&amp;C142,'Demand Projection'!$C$2:$C$169,"&lt;="&amp;C142+5)</f>
        <v>1922</v>
      </c>
      <c r="F142" s="0" t="n">
        <f aca="false">SUMIFS($I$2:I141,$B$2:B141,B142,$J$2:J141,"&lt;="&amp;C142)</f>
        <v>31749</v>
      </c>
      <c r="G142" s="0" t="n">
        <f aca="false">SUMIFS($D$2:D142,$B$2:B142,B142)</f>
        <v>33453</v>
      </c>
      <c r="H142" s="0" t="n">
        <f aca="false">VLOOKUP(B142,Warehouse!$B$2:$D$6,3,FALSE())+F142-G142</f>
        <v>496</v>
      </c>
      <c r="I142" s="0" t="n">
        <f aca="false">IF(H142&lt;VLOOKUP(B142,Capacity!$D$3:$F$7,2,FALSE()),VLOOKUP(B142,Capacity!$D$3:$F$7,3,FALSE())-H142,0)</f>
        <v>2136</v>
      </c>
      <c r="J142" s="2" t="n">
        <f aca="false">IF(I142&gt;0,C142+3,"")</f>
        <v>46332</v>
      </c>
      <c r="K142" s="0" t="n">
        <f aca="false">IF(I142&gt;0,MAX($K$2:K141)+1,"")</f>
        <v>55</v>
      </c>
    </row>
    <row r="143" customFormat="false" ht="15" hidden="false" customHeight="false" outlineLevel="0" collapsed="false">
      <c r="A143" s="0" t="n">
        <f aca="false">'Demand Projection'!A143</f>
        <v>142</v>
      </c>
      <c r="B143" s="0" t="str">
        <f aca="false">'Demand Projection'!B143</f>
        <v>SKU PROD B</v>
      </c>
      <c r="C143" s="2" t="n">
        <f aca="false">'Demand Projection'!C143</f>
        <v>46329</v>
      </c>
      <c r="D143" s="0" t="n">
        <f aca="false">'Demand Projection'!D143</f>
        <v>4787</v>
      </c>
      <c r="E143" s="0" t="n">
        <f aca="false">SUMIFS('Demand Projection'!$D$2:$D$169,'Demand Projection'!$B$2:$B$169,B143,'Demand Projection'!$C$2:$C$169,"&gt;="&amp;C143,'Demand Projection'!$C$2:$C$169,"&lt;="&amp;C143+5)</f>
        <v>4787</v>
      </c>
      <c r="F143" s="0" t="n">
        <f aca="false">SUMIFS($I$2:I142,$B$2:B142,B143,$J$2:J142,"&lt;="&amp;C143)</f>
        <v>61338</v>
      </c>
      <c r="G143" s="0" t="n">
        <f aca="false">SUMIFS($D$2:D143,$B$2:B143,B143)</f>
        <v>67931</v>
      </c>
      <c r="H143" s="0" t="n">
        <f aca="false">VLOOKUP(B143,Warehouse!$B$2:$D$6,3,FALSE())+F143-G143</f>
        <v>1407</v>
      </c>
      <c r="I143" s="0" t="n">
        <f aca="false">IF(H143&lt;VLOOKUP(B143,Capacity!$D$3:$F$7,2,FALSE()),VLOOKUP(B143,Capacity!$D$3:$F$7,3,FALSE())-H143,0)</f>
        <v>0</v>
      </c>
      <c r="J143" s="2" t="str">
        <f aca="false">IF(I143&gt;0,C143+3,"")</f>
        <v/>
      </c>
      <c r="K143" s="0" t="str">
        <f aca="false">IF(I143&gt;0,MAX($K$2:K142)+1,"")</f>
        <v/>
      </c>
    </row>
    <row r="144" customFormat="false" ht="15" hidden="false" customHeight="false" outlineLevel="0" collapsed="false">
      <c r="A144" s="0" t="n">
        <f aca="false">'Demand Projection'!A144</f>
        <v>143</v>
      </c>
      <c r="B144" s="0" t="str">
        <f aca="false">'Demand Projection'!B144</f>
        <v>SKU PROD A</v>
      </c>
      <c r="C144" s="2" t="n">
        <f aca="false">'Demand Projection'!C144</f>
        <v>46330</v>
      </c>
      <c r="D144" s="0" t="n">
        <f aca="false">'Demand Projection'!D144</f>
        <v>322</v>
      </c>
      <c r="E144" s="0" t="n">
        <f aca="false">SUMIFS('Demand Projection'!$D$2:$D$169,'Demand Projection'!$B$2:$B$169,B144,'Demand Projection'!$C$2:$C$169,"&gt;="&amp;C144,'Demand Projection'!$C$2:$C$169,"&lt;="&amp;C144+5)</f>
        <v>1122</v>
      </c>
      <c r="F144" s="0" t="n">
        <f aca="false">SUMIFS($I$2:I143,$B$2:B143,B144,$J$2:J143,"&lt;="&amp;C144)</f>
        <v>31749</v>
      </c>
      <c r="G144" s="0" t="n">
        <f aca="false">SUMIFS($D$2:D144,$B$2:B144,B144)</f>
        <v>33775</v>
      </c>
      <c r="H144" s="0" t="n">
        <f aca="false">VLOOKUP(B144,Warehouse!$B$2:$D$6,3,FALSE())+F144-G144</f>
        <v>174</v>
      </c>
      <c r="I144" s="0" t="n">
        <f aca="false">IF(H144&lt;VLOOKUP(B144,Capacity!$D$3:$F$7,2,FALSE()),VLOOKUP(B144,Capacity!$D$3:$F$7,3,FALSE())-H144,0)</f>
        <v>2458</v>
      </c>
      <c r="J144" s="2" t="n">
        <f aca="false">IF(I144&gt;0,C144+3,"")</f>
        <v>46333</v>
      </c>
      <c r="K144" s="0" t="n">
        <f aca="false">IF(I144&gt;0,MAX($K$2:K143)+1,"")</f>
        <v>56</v>
      </c>
    </row>
    <row r="145" customFormat="false" ht="15" hidden="false" customHeight="false" outlineLevel="0" collapsed="false">
      <c r="A145" s="0" t="n">
        <f aca="false">'Demand Projection'!A145</f>
        <v>144</v>
      </c>
      <c r="B145" s="0" t="str">
        <f aca="false">'Demand Projection'!B145</f>
        <v>SKU PROD C</v>
      </c>
      <c r="C145" s="2" t="n">
        <f aca="false">'Demand Projection'!C145</f>
        <v>46331</v>
      </c>
      <c r="D145" s="0" t="n">
        <f aca="false">'Demand Projection'!D145</f>
        <v>721</v>
      </c>
      <c r="E145" s="0" t="n">
        <f aca="false">SUMIFS('Demand Projection'!$D$2:$D$169,'Demand Projection'!$B$2:$B$169,B145,'Demand Projection'!$C$2:$C$169,"&gt;="&amp;C145,'Demand Projection'!$C$2:$C$169,"&lt;="&amp;C145+5)</f>
        <v>1122</v>
      </c>
      <c r="F145" s="0" t="n">
        <f aca="false">SUMIFS($I$2:I144,$B$2:B144,B145,$J$2:J144,"&lt;="&amp;C145)</f>
        <v>19706</v>
      </c>
      <c r="G145" s="0" t="n">
        <f aca="false">SUMIFS($D$2:D145,$B$2:B145,B145)</f>
        <v>21439</v>
      </c>
      <c r="H145" s="0" t="n">
        <f aca="false">VLOOKUP(B145,Warehouse!$B$2:$D$6,3,FALSE())+F145-G145</f>
        <v>-33</v>
      </c>
      <c r="I145" s="0" t="n">
        <f aca="false">IF(H145&lt;VLOOKUP(B145,Capacity!$D$3:$F$7,2,FALSE()),VLOOKUP(B145,Capacity!$D$3:$F$7,3,FALSE())-H145,0)</f>
        <v>1570</v>
      </c>
      <c r="J145" s="2" t="n">
        <f aca="false">IF(I145&gt;0,C145+3,"")</f>
        <v>46334</v>
      </c>
      <c r="K145" s="0" t="n">
        <f aca="false">IF(I145&gt;0,MAX($K$2:K144)+1,"")</f>
        <v>57</v>
      </c>
    </row>
    <row r="146" customFormat="false" ht="15" hidden="false" customHeight="false" outlineLevel="0" collapsed="false">
      <c r="A146" s="0" t="n">
        <f aca="false">'Demand Projection'!A146</f>
        <v>145</v>
      </c>
      <c r="B146" s="0" t="str">
        <f aca="false">'Demand Projection'!B146</f>
        <v>SKU PROD D</v>
      </c>
      <c r="C146" s="2" t="n">
        <f aca="false">'Demand Projection'!C146</f>
        <v>46332</v>
      </c>
      <c r="D146" s="0" t="n">
        <f aca="false">'Demand Projection'!D146</f>
        <v>482</v>
      </c>
      <c r="E146" s="0" t="n">
        <f aca="false">SUMIFS('Demand Projection'!$D$2:$D$169,'Demand Projection'!$B$2:$B$169,B146,'Demand Projection'!$C$2:$C$169,"&gt;="&amp;C146,'Demand Projection'!$C$2:$C$169,"&lt;="&amp;C146+5)</f>
        <v>482</v>
      </c>
      <c r="F146" s="0" t="n">
        <f aca="false">SUMIFS($I$2:I145,$B$2:B145,B146,$J$2:J145,"&lt;="&amp;C146)</f>
        <v>44808</v>
      </c>
      <c r="G146" s="0" t="n">
        <f aca="false">SUMIFS($D$2:D146,$B$2:B146,B146)</f>
        <v>45258</v>
      </c>
      <c r="H146" s="0" t="n">
        <f aca="false">VLOOKUP(B146,Warehouse!$B$2:$D$6,3,FALSE())+F146-G146</f>
        <v>3050</v>
      </c>
      <c r="I146" s="0" t="n">
        <f aca="false">IF(H146&lt;VLOOKUP(B146,Capacity!$D$3:$F$7,2,FALSE()),VLOOKUP(B146,Capacity!$D$3:$F$7,3,FALSE())-H146,0)</f>
        <v>0</v>
      </c>
      <c r="J146" s="2" t="str">
        <f aca="false">IF(I146&gt;0,C146+3,"")</f>
        <v/>
      </c>
      <c r="K146" s="0" t="str">
        <f aca="false">IF(I146&gt;0,MAX($K$2:K145)+1,"")</f>
        <v/>
      </c>
    </row>
    <row r="147" customFormat="false" ht="15" hidden="false" customHeight="false" outlineLevel="0" collapsed="false">
      <c r="A147" s="0" t="n">
        <f aca="false">'Demand Projection'!A147</f>
        <v>146</v>
      </c>
      <c r="B147" s="0" t="str">
        <f aca="false">'Demand Projection'!B147</f>
        <v>SKU PROD A</v>
      </c>
      <c r="C147" s="2" t="n">
        <f aca="false">'Demand Projection'!C147</f>
        <v>46333</v>
      </c>
      <c r="D147" s="0" t="n">
        <f aca="false">'Demand Projection'!D147</f>
        <v>800</v>
      </c>
      <c r="E147" s="0" t="n">
        <f aca="false">SUMIFS('Demand Projection'!$D$2:$D$169,'Demand Projection'!$B$2:$B$169,B147,'Demand Projection'!$C$2:$C$169,"&gt;="&amp;C147,'Demand Projection'!$C$2:$C$169,"&lt;="&amp;C147+5)</f>
        <v>800</v>
      </c>
      <c r="F147" s="0" t="n">
        <f aca="false">SUMIFS($I$2:I146,$B$2:B146,B147,$J$2:J146,"&lt;="&amp;C147)</f>
        <v>36343</v>
      </c>
      <c r="G147" s="0" t="n">
        <f aca="false">SUMIFS($D$2:D147,$B$2:B147,B147)</f>
        <v>34575</v>
      </c>
      <c r="H147" s="0" t="n">
        <f aca="false">VLOOKUP(B147,Warehouse!$B$2:$D$6,3,FALSE())+F147-G147</f>
        <v>3968</v>
      </c>
      <c r="I147" s="0" t="n">
        <f aca="false">IF(H147&lt;VLOOKUP(B147,Capacity!$D$3:$F$7,2,FALSE()),VLOOKUP(B147,Capacity!$D$3:$F$7,3,FALSE())-H147,0)</f>
        <v>0</v>
      </c>
      <c r="J147" s="2" t="str">
        <f aca="false">IF(I147&gt;0,C147+3,"")</f>
        <v/>
      </c>
      <c r="K147" s="0" t="str">
        <f aca="false">IF(I147&gt;0,MAX($K$2:K146)+1,"")</f>
        <v/>
      </c>
    </row>
    <row r="148" customFormat="false" ht="15" hidden="false" customHeight="false" outlineLevel="0" collapsed="false">
      <c r="A148" s="0" t="n">
        <f aca="false">'Demand Projection'!A148</f>
        <v>147</v>
      </c>
      <c r="B148" s="0" t="str">
        <f aca="false">'Demand Projection'!B148</f>
        <v>SKU PROD C</v>
      </c>
      <c r="C148" s="2" t="n">
        <f aca="false">'Demand Projection'!C148</f>
        <v>46335</v>
      </c>
      <c r="D148" s="0" t="n">
        <f aca="false">'Demand Projection'!D148</f>
        <v>401</v>
      </c>
      <c r="E148" s="0" t="n">
        <f aca="false">SUMIFS('Demand Projection'!$D$2:$D$169,'Demand Projection'!$B$2:$B$169,B148,'Demand Projection'!$C$2:$C$169,"&gt;="&amp;C148,'Demand Projection'!$C$2:$C$169,"&lt;="&amp;C148+5)</f>
        <v>401</v>
      </c>
      <c r="F148" s="0" t="n">
        <f aca="false">SUMIFS($I$2:I147,$B$2:B147,B148,$J$2:J147,"&lt;="&amp;C148)</f>
        <v>21276</v>
      </c>
      <c r="G148" s="0" t="n">
        <f aca="false">SUMIFS($D$2:D148,$B$2:B148,B148)</f>
        <v>21840</v>
      </c>
      <c r="H148" s="0" t="n">
        <f aca="false">VLOOKUP(B148,Warehouse!$B$2:$D$6,3,FALSE())+F148-G148</f>
        <v>1136</v>
      </c>
      <c r="I148" s="0" t="n">
        <f aca="false">IF(H148&lt;VLOOKUP(B148,Capacity!$D$3:$F$7,2,FALSE()),VLOOKUP(B148,Capacity!$D$3:$F$7,3,FALSE())-H148,0)</f>
        <v>0</v>
      </c>
      <c r="J148" s="2" t="str">
        <f aca="false">IF(I148&gt;0,C148+3,"")</f>
        <v/>
      </c>
      <c r="K148" s="0" t="str">
        <f aca="false">IF(I148&gt;0,MAX($K$2:K147)+1,"")</f>
        <v/>
      </c>
    </row>
    <row r="149" customFormat="false" ht="15" hidden="false" customHeight="false" outlineLevel="0" collapsed="false">
      <c r="A149" s="0" t="n">
        <f aca="false">'Demand Projection'!A149</f>
        <v>148</v>
      </c>
      <c r="B149" s="0" t="str">
        <f aca="false">'Demand Projection'!B149</f>
        <v>SKU PROD E</v>
      </c>
      <c r="C149" s="2" t="n">
        <f aca="false">'Demand Projection'!C149</f>
        <v>46338</v>
      </c>
      <c r="D149" s="0" t="n">
        <f aca="false">'Demand Projection'!D149</f>
        <v>280</v>
      </c>
      <c r="E149" s="0" t="n">
        <f aca="false">SUMIFS('Demand Projection'!$D$2:$D$169,'Demand Projection'!$B$2:$B$169,B149,'Demand Projection'!$C$2:$C$169,"&gt;="&amp;C149,'Demand Projection'!$C$2:$C$169,"&lt;="&amp;C149+5)</f>
        <v>280</v>
      </c>
      <c r="F149" s="0" t="n">
        <f aca="false">SUMIFS($I$2:I148,$B$2:B148,B149,$J$2:J148,"&lt;="&amp;C149)</f>
        <v>24402</v>
      </c>
      <c r="G149" s="0" t="n">
        <f aca="false">SUMIFS($D$2:D149,$B$2:B149,B149)</f>
        <v>24625</v>
      </c>
      <c r="H149" s="0" t="n">
        <f aca="false">VLOOKUP(B149,Warehouse!$B$2:$D$6,3,FALSE())+F149-G149</f>
        <v>2077</v>
      </c>
      <c r="I149" s="0" t="n">
        <f aca="false">IF(H149&lt;VLOOKUP(B149,Capacity!$D$3:$F$7,2,FALSE()),VLOOKUP(B149,Capacity!$D$3:$F$7,3,FALSE())-H149,0)</f>
        <v>0</v>
      </c>
      <c r="J149" s="2" t="str">
        <f aca="false">IF(I149&gt;0,C149+3,"")</f>
        <v/>
      </c>
      <c r="K149" s="0" t="str">
        <f aca="false">IF(I149&gt;0,MAX($K$2:K148)+1,"")</f>
        <v/>
      </c>
    </row>
    <row r="150" customFormat="false" ht="15" hidden="false" customHeight="false" outlineLevel="0" collapsed="false">
      <c r="A150" s="0" t="n">
        <f aca="false">'Demand Projection'!A150</f>
        <v>149</v>
      </c>
      <c r="B150" s="0" t="str">
        <f aca="false">'Demand Projection'!B150</f>
        <v>SKU PROD B</v>
      </c>
      <c r="C150" s="2" t="n">
        <f aca="false">'Demand Projection'!C150</f>
        <v>46339</v>
      </c>
      <c r="D150" s="0" t="n">
        <f aca="false">'Demand Projection'!D150</f>
        <v>399</v>
      </c>
      <c r="E150" s="0" t="n">
        <f aca="false">SUMIFS('Demand Projection'!$D$2:$D$169,'Demand Projection'!$B$2:$B$169,B150,'Demand Projection'!$C$2:$C$169,"&gt;="&amp;C150,'Demand Projection'!$C$2:$C$169,"&lt;="&amp;C150+5)</f>
        <v>399</v>
      </c>
      <c r="F150" s="0" t="n">
        <f aca="false">SUMIFS($I$2:I149,$B$2:B149,B150,$J$2:J149,"&lt;="&amp;C150)</f>
        <v>61338</v>
      </c>
      <c r="G150" s="0" t="n">
        <f aca="false">SUMIFS($D$2:D150,$B$2:B150,B150)</f>
        <v>68330</v>
      </c>
      <c r="H150" s="0" t="n">
        <f aca="false">VLOOKUP(B150,Warehouse!$B$2:$D$6,3,FALSE())+F150-G150</f>
        <v>1008</v>
      </c>
      <c r="I150" s="0" t="n">
        <f aca="false">IF(H150&lt;VLOOKUP(B150,Capacity!$D$3:$F$7,2,FALSE()),VLOOKUP(B150,Capacity!$D$3:$F$7,3,FALSE())-H150,0)</f>
        <v>0</v>
      </c>
      <c r="J150" s="2" t="str">
        <f aca="false">IF(I150&gt;0,C150+3,"")</f>
        <v/>
      </c>
      <c r="K150" s="0" t="str">
        <f aca="false">IF(I150&gt;0,MAX($K$2:K149)+1,"")</f>
        <v/>
      </c>
    </row>
    <row r="151" customFormat="false" ht="15" hidden="false" customHeight="false" outlineLevel="0" collapsed="false">
      <c r="A151" s="0" t="n">
        <f aca="false">'Demand Projection'!A151</f>
        <v>150</v>
      </c>
      <c r="B151" s="0" t="str">
        <f aca="false">'Demand Projection'!B151</f>
        <v>SKU PROD D</v>
      </c>
      <c r="C151" s="2" t="n">
        <f aca="false">'Demand Projection'!C151</f>
        <v>46343</v>
      </c>
      <c r="D151" s="0" t="n">
        <f aca="false">'Demand Projection'!D151</f>
        <v>565</v>
      </c>
      <c r="E151" s="0" t="n">
        <f aca="false">SUMIFS('Demand Projection'!$D$2:$D$169,'Demand Projection'!$B$2:$B$169,B151,'Demand Projection'!$C$2:$C$169,"&gt;="&amp;C151,'Demand Projection'!$C$2:$C$169,"&lt;="&amp;C151+5)</f>
        <v>565</v>
      </c>
      <c r="F151" s="0" t="n">
        <f aca="false">SUMIFS($I$2:I150,$B$2:B150,B151,$J$2:J150,"&lt;="&amp;C151)</f>
        <v>44808</v>
      </c>
      <c r="G151" s="0" t="n">
        <f aca="false">SUMIFS($D$2:D151,$B$2:B151,B151)</f>
        <v>45823</v>
      </c>
      <c r="H151" s="0" t="n">
        <f aca="false">VLOOKUP(B151,Warehouse!$B$2:$D$6,3,FALSE())+F151-G151</f>
        <v>2485</v>
      </c>
      <c r="I151" s="0" t="n">
        <f aca="false">IF(H151&lt;VLOOKUP(B151,Capacity!$D$3:$F$7,2,FALSE()),VLOOKUP(B151,Capacity!$D$3:$F$7,3,FALSE())-H151,0)</f>
        <v>0</v>
      </c>
      <c r="J151" s="2" t="str">
        <f aca="false">IF(I151&gt;0,C151+3,"")</f>
        <v/>
      </c>
      <c r="K151" s="0" t="str">
        <f aca="false">IF(I151&gt;0,MAX($K$2:K150)+1,"")</f>
        <v/>
      </c>
    </row>
    <row r="152" customFormat="false" ht="15" hidden="false" customHeight="false" outlineLevel="0" collapsed="false">
      <c r="A152" s="0" t="n">
        <f aca="false">'Demand Projection'!A152</f>
        <v>151</v>
      </c>
      <c r="B152" s="0" t="str">
        <f aca="false">'Demand Projection'!B152</f>
        <v>SKU PROD C</v>
      </c>
      <c r="C152" s="2" t="n">
        <f aca="false">'Demand Projection'!C152</f>
        <v>46346</v>
      </c>
      <c r="D152" s="0" t="n">
        <f aca="false">'Demand Projection'!D152</f>
        <v>521</v>
      </c>
      <c r="E152" s="0" t="n">
        <f aca="false">SUMIFS('Demand Projection'!$D$2:$D$169,'Demand Projection'!$B$2:$B$169,B152,'Demand Projection'!$C$2:$C$169,"&gt;="&amp;C152,'Demand Projection'!$C$2:$C$169,"&lt;="&amp;C152+5)</f>
        <v>521</v>
      </c>
      <c r="F152" s="0" t="n">
        <f aca="false">SUMIFS($I$2:I151,$B$2:B151,B152,$J$2:J151,"&lt;="&amp;C152)</f>
        <v>21276</v>
      </c>
      <c r="G152" s="0" t="n">
        <f aca="false">SUMIFS($D$2:D152,$B$2:B152,B152)</f>
        <v>22361</v>
      </c>
      <c r="H152" s="0" t="n">
        <f aca="false">VLOOKUP(B152,Warehouse!$B$2:$D$6,3,FALSE())+F152-G152</f>
        <v>615</v>
      </c>
      <c r="I152" s="0" t="n">
        <f aca="false">IF(H152&lt;VLOOKUP(B152,Capacity!$D$3:$F$7,2,FALSE()),VLOOKUP(B152,Capacity!$D$3:$F$7,3,FALSE())-H152,0)</f>
        <v>0</v>
      </c>
      <c r="J152" s="2" t="str">
        <f aca="false">IF(I152&gt;0,C152+3,"")</f>
        <v/>
      </c>
      <c r="K152" s="0" t="str">
        <f aca="false">IF(I152&gt;0,MAX($K$2:K151)+1,"")</f>
        <v/>
      </c>
    </row>
    <row r="153" customFormat="false" ht="15" hidden="false" customHeight="false" outlineLevel="0" collapsed="false">
      <c r="A153" s="0" t="n">
        <f aca="false">'Demand Projection'!A153</f>
        <v>152</v>
      </c>
      <c r="B153" s="0" t="str">
        <f aca="false">'Demand Projection'!B153</f>
        <v>SKU PROD A</v>
      </c>
      <c r="C153" s="2" t="n">
        <f aca="false">'Demand Projection'!C153</f>
        <v>46350</v>
      </c>
      <c r="D153" s="0" t="n">
        <f aca="false">'Demand Projection'!D153</f>
        <v>719</v>
      </c>
      <c r="E153" s="0" t="n">
        <f aca="false">SUMIFS('Demand Projection'!$D$2:$D$169,'Demand Projection'!$B$2:$B$169,B153,'Demand Projection'!$C$2:$C$169,"&gt;="&amp;C153,'Demand Projection'!$C$2:$C$169,"&lt;="&amp;C153+5)</f>
        <v>719</v>
      </c>
      <c r="F153" s="0" t="n">
        <f aca="false">SUMIFS($I$2:I152,$B$2:B152,B153,$J$2:J152,"&lt;="&amp;C153)</f>
        <v>36343</v>
      </c>
      <c r="G153" s="0" t="n">
        <f aca="false">SUMIFS($D$2:D153,$B$2:B153,B153)</f>
        <v>35294</v>
      </c>
      <c r="H153" s="0" t="n">
        <f aca="false">VLOOKUP(B153,Warehouse!$B$2:$D$6,3,FALSE())+F153-G153</f>
        <v>3249</v>
      </c>
      <c r="I153" s="0" t="n">
        <f aca="false">IF(H153&lt;VLOOKUP(B153,Capacity!$D$3:$F$7,2,FALSE()),VLOOKUP(B153,Capacity!$D$3:$F$7,3,FALSE())-H153,0)</f>
        <v>0</v>
      </c>
      <c r="J153" s="2" t="str">
        <f aca="false">IF(I153&gt;0,C153+3,"")</f>
        <v/>
      </c>
      <c r="K153" s="0" t="str">
        <f aca="false">IF(I153&gt;0,MAX($K$2:K152)+1,"")</f>
        <v/>
      </c>
    </row>
    <row r="154" customFormat="false" ht="15" hidden="false" customHeight="false" outlineLevel="0" collapsed="false">
      <c r="A154" s="0" t="n">
        <f aca="false">'Demand Projection'!A154</f>
        <v>153</v>
      </c>
      <c r="B154" s="0" t="str">
        <f aca="false">'Demand Projection'!B154</f>
        <v>SKU PROD D</v>
      </c>
      <c r="C154" s="2" t="n">
        <f aca="false">'Demand Projection'!C154</f>
        <v>46354</v>
      </c>
      <c r="D154" s="0" t="n">
        <f aca="false">'Demand Projection'!D154</f>
        <v>3153</v>
      </c>
      <c r="E154" s="0" t="n">
        <f aca="false">SUMIFS('Demand Projection'!$D$2:$D$169,'Demand Projection'!$B$2:$B$169,B154,'Demand Projection'!$C$2:$C$169,"&gt;="&amp;C154,'Demand Projection'!$C$2:$C$169,"&lt;="&amp;C154+5)</f>
        <v>3153</v>
      </c>
      <c r="F154" s="0" t="n">
        <f aca="false">SUMIFS($I$2:I153,$B$2:B153,B154,$J$2:J153,"&lt;="&amp;C154)</f>
        <v>44808</v>
      </c>
      <c r="G154" s="0" t="n">
        <f aca="false">SUMIFS($D$2:D154,$B$2:B154,B154)</f>
        <v>48976</v>
      </c>
      <c r="H154" s="0" t="n">
        <f aca="false">VLOOKUP(B154,Warehouse!$B$2:$D$6,3,FALSE())+F154-G154</f>
        <v>-668</v>
      </c>
      <c r="I154" s="0" t="n">
        <f aca="false">IF(H154&lt;VLOOKUP(B154,Capacity!$D$3:$F$7,2,FALSE()),VLOOKUP(B154,Capacity!$D$3:$F$7,3,FALSE())-H154,0)</f>
        <v>4200</v>
      </c>
      <c r="J154" s="2" t="n">
        <f aca="false">IF(I154&gt;0,C154+3,"")</f>
        <v>46357</v>
      </c>
      <c r="K154" s="0" t="n">
        <f aca="false">IF(I154&gt;0,MAX($K$2:K153)+1,"")</f>
        <v>58</v>
      </c>
    </row>
    <row r="155" customFormat="false" ht="15" hidden="false" customHeight="false" outlineLevel="0" collapsed="false">
      <c r="A155" s="0" t="n">
        <f aca="false">'Demand Projection'!A155</f>
        <v>154</v>
      </c>
      <c r="B155" s="0" t="str">
        <f aca="false">'Demand Projection'!B155</f>
        <v>SKU PROD E</v>
      </c>
      <c r="C155" s="2" t="n">
        <f aca="false">'Demand Projection'!C155</f>
        <v>46354</v>
      </c>
      <c r="D155" s="0" t="n">
        <f aca="false">'Demand Projection'!D155</f>
        <v>2104</v>
      </c>
      <c r="E155" s="0" t="n">
        <f aca="false">SUMIFS('Demand Projection'!$D$2:$D$169,'Demand Projection'!$B$2:$B$169,B155,'Demand Projection'!$C$2:$C$169,"&gt;="&amp;C155,'Demand Projection'!$C$2:$C$169,"&lt;="&amp;C155+5)</f>
        <v>2104</v>
      </c>
      <c r="F155" s="0" t="n">
        <f aca="false">SUMIFS($I$2:I154,$B$2:B154,B155,$J$2:J154,"&lt;="&amp;C155)</f>
        <v>24402</v>
      </c>
      <c r="G155" s="0" t="n">
        <f aca="false">SUMIFS($D$2:D155,$B$2:B155,B155)</f>
        <v>26729</v>
      </c>
      <c r="H155" s="0" t="n">
        <f aca="false">VLOOKUP(B155,Warehouse!$B$2:$D$6,3,FALSE())+F155-G155</f>
        <v>-27</v>
      </c>
      <c r="I155" s="0" t="n">
        <f aca="false">IF(H155&lt;VLOOKUP(B155,Capacity!$D$3:$F$7,2,FALSE()),VLOOKUP(B155,Capacity!$D$3:$F$7,3,FALSE())-H155,0)</f>
        <v>2384</v>
      </c>
      <c r="J155" s="2" t="n">
        <f aca="false">IF(I155&gt;0,C155+3,"")</f>
        <v>46357</v>
      </c>
      <c r="K155" s="0" t="n">
        <f aca="false">IF(I155&gt;0,MAX($K$2:K154)+1,"")</f>
        <v>59</v>
      </c>
    </row>
    <row r="156" customFormat="false" ht="15" hidden="false" customHeight="false" outlineLevel="0" collapsed="false">
      <c r="A156" s="0" t="n">
        <f aca="false">'Demand Projection'!A156</f>
        <v>155</v>
      </c>
      <c r="B156" s="0" t="str">
        <f aca="false">'Demand Projection'!B156</f>
        <v>SKU PROD A</v>
      </c>
      <c r="C156" s="2" t="n">
        <f aca="false">'Demand Projection'!C156</f>
        <v>46359</v>
      </c>
      <c r="D156" s="0" t="n">
        <f aca="false">'Demand Projection'!D156</f>
        <v>848</v>
      </c>
      <c r="E156" s="0" t="n">
        <f aca="false">SUMIFS('Demand Projection'!$D$2:$D$169,'Demand Projection'!$B$2:$B$169,B156,'Demand Projection'!$C$2:$C$169,"&gt;="&amp;C156,'Demand Projection'!$C$2:$C$169,"&lt;="&amp;C156+5)</f>
        <v>2038</v>
      </c>
      <c r="F156" s="0" t="n">
        <f aca="false">SUMIFS($I$2:I155,$B$2:B155,B156,$J$2:J155,"&lt;="&amp;C156)</f>
        <v>36343</v>
      </c>
      <c r="G156" s="0" t="n">
        <f aca="false">SUMIFS($D$2:D156,$B$2:B156,B156)</f>
        <v>36142</v>
      </c>
      <c r="H156" s="0" t="n">
        <f aca="false">VLOOKUP(B156,Warehouse!$B$2:$D$6,3,FALSE())+F156-G156</f>
        <v>2401</v>
      </c>
      <c r="I156" s="0" t="n">
        <f aca="false">IF(H156&lt;VLOOKUP(B156,Capacity!$D$3:$F$7,2,FALSE()),VLOOKUP(B156,Capacity!$D$3:$F$7,3,FALSE())-H156,0)</f>
        <v>0</v>
      </c>
      <c r="J156" s="2" t="str">
        <f aca="false">IF(I156&gt;0,C156+3,"")</f>
        <v/>
      </c>
      <c r="K156" s="0" t="str">
        <f aca="false">IF(I156&gt;0,MAX($K$2:K155)+1,"")</f>
        <v/>
      </c>
    </row>
    <row r="157" customFormat="false" ht="15" hidden="false" customHeight="false" outlineLevel="0" collapsed="false">
      <c r="A157" s="0" t="n">
        <f aca="false">'Demand Projection'!A157</f>
        <v>156</v>
      </c>
      <c r="B157" s="0" t="str">
        <f aca="false">'Demand Projection'!B157</f>
        <v>SKU PROD B</v>
      </c>
      <c r="C157" s="2" t="n">
        <f aca="false">'Demand Projection'!C157</f>
        <v>46359</v>
      </c>
      <c r="D157" s="0" t="n">
        <f aca="false">'Demand Projection'!D157</f>
        <v>5075</v>
      </c>
      <c r="E157" s="0" t="n">
        <f aca="false">SUMIFS('Demand Projection'!$D$2:$D$169,'Demand Projection'!$B$2:$B$169,B157,'Demand Projection'!$C$2:$C$169,"&gt;="&amp;C157,'Demand Projection'!$C$2:$C$169,"&lt;="&amp;C157+5)</f>
        <v>5075</v>
      </c>
      <c r="F157" s="0" t="n">
        <f aca="false">SUMIFS($I$2:I156,$B$2:B156,B157,$J$2:J156,"&lt;="&amp;C157)</f>
        <v>61338</v>
      </c>
      <c r="G157" s="0" t="n">
        <f aca="false">SUMIFS($D$2:D157,$B$2:B157,B157)</f>
        <v>73405</v>
      </c>
      <c r="H157" s="0" t="n">
        <f aca="false">VLOOKUP(B157,Warehouse!$B$2:$D$6,3,FALSE())+F157-G157</f>
        <v>-4067</v>
      </c>
      <c r="I157" s="0" t="n">
        <f aca="false">IF(H157&lt;VLOOKUP(B157,Capacity!$D$3:$F$7,2,FALSE()),VLOOKUP(B157,Capacity!$D$3:$F$7,3,FALSE())-H157,0)</f>
        <v>10637</v>
      </c>
      <c r="J157" s="2" t="n">
        <f aca="false">IF(I157&gt;0,C157+3,"")</f>
        <v>46362</v>
      </c>
      <c r="K157" s="0" t="n">
        <f aca="false">IF(I157&gt;0,MAX($K$2:K156)+1,"")</f>
        <v>60</v>
      </c>
    </row>
    <row r="158" customFormat="false" ht="15" hidden="false" customHeight="false" outlineLevel="0" collapsed="false">
      <c r="A158" s="0" t="n">
        <f aca="false">'Demand Projection'!A158</f>
        <v>157</v>
      </c>
      <c r="B158" s="0" t="str">
        <f aca="false">'Demand Projection'!B158</f>
        <v>SKU PROD A</v>
      </c>
      <c r="C158" s="2" t="n">
        <f aca="false">'Demand Projection'!C158</f>
        <v>46360</v>
      </c>
      <c r="D158" s="0" t="n">
        <f aca="false">'Demand Projection'!D158</f>
        <v>342</v>
      </c>
      <c r="E158" s="0" t="n">
        <f aca="false">SUMIFS('Demand Projection'!$D$2:$D$169,'Demand Projection'!$B$2:$B$169,B158,'Demand Projection'!$C$2:$C$169,"&gt;="&amp;C158,'Demand Projection'!$C$2:$C$169,"&lt;="&amp;C158+5)</f>
        <v>1190</v>
      </c>
      <c r="F158" s="0" t="n">
        <f aca="false">SUMIFS($I$2:I157,$B$2:B157,B158,$J$2:J157,"&lt;="&amp;C158)</f>
        <v>36343</v>
      </c>
      <c r="G158" s="0" t="n">
        <f aca="false">SUMIFS($D$2:D158,$B$2:B158,B158)</f>
        <v>36484</v>
      </c>
      <c r="H158" s="0" t="n">
        <f aca="false">VLOOKUP(B158,Warehouse!$B$2:$D$6,3,FALSE())+F158-G158</f>
        <v>2059</v>
      </c>
      <c r="I158" s="0" t="n">
        <f aca="false">IF(H158&lt;VLOOKUP(B158,Capacity!$D$3:$F$7,2,FALSE()),VLOOKUP(B158,Capacity!$D$3:$F$7,3,FALSE())-H158,0)</f>
        <v>0</v>
      </c>
      <c r="J158" s="2" t="str">
        <f aca="false">IF(I158&gt;0,C158+3,"")</f>
        <v/>
      </c>
      <c r="K158" s="0" t="str">
        <f aca="false">IF(I158&gt;0,MAX($K$2:K157)+1,"")</f>
        <v/>
      </c>
    </row>
    <row r="159" customFormat="false" ht="15" hidden="false" customHeight="false" outlineLevel="0" collapsed="false">
      <c r="A159" s="0" t="n">
        <f aca="false">'Demand Projection'!A159</f>
        <v>158</v>
      </c>
      <c r="B159" s="0" t="str">
        <f aca="false">'Demand Projection'!B159</f>
        <v>SKU PROD C</v>
      </c>
      <c r="C159" s="2" t="n">
        <f aca="false">'Demand Projection'!C159</f>
        <v>46361</v>
      </c>
      <c r="D159" s="0" t="n">
        <f aca="false">'Demand Projection'!D159</f>
        <v>765</v>
      </c>
      <c r="E159" s="0" t="n">
        <f aca="false">SUMIFS('Demand Projection'!$D$2:$D$169,'Demand Projection'!$B$2:$B$169,B159,'Demand Projection'!$C$2:$C$169,"&gt;="&amp;C159,'Demand Projection'!$C$2:$C$169,"&lt;="&amp;C159+5)</f>
        <v>1191</v>
      </c>
      <c r="F159" s="0" t="n">
        <f aca="false">SUMIFS($I$2:I158,$B$2:B158,B159,$J$2:J158,"&lt;="&amp;C159)</f>
        <v>21276</v>
      </c>
      <c r="G159" s="0" t="n">
        <f aca="false">SUMIFS($D$2:D159,$B$2:B159,B159)</f>
        <v>23126</v>
      </c>
      <c r="H159" s="0" t="n">
        <f aca="false">VLOOKUP(B159,Warehouse!$B$2:$D$6,3,FALSE())+F159-G159</f>
        <v>-150</v>
      </c>
      <c r="I159" s="0" t="n">
        <f aca="false">IF(H159&lt;VLOOKUP(B159,Capacity!$D$3:$F$7,2,FALSE()),VLOOKUP(B159,Capacity!$D$3:$F$7,3,FALSE())-H159,0)</f>
        <v>1687</v>
      </c>
      <c r="J159" s="2" t="n">
        <f aca="false">IF(I159&gt;0,C159+3,"")</f>
        <v>46364</v>
      </c>
      <c r="K159" s="0" t="n">
        <f aca="false">IF(I159&gt;0,MAX($K$2:K158)+1,"")</f>
        <v>61</v>
      </c>
    </row>
    <row r="160" customFormat="false" ht="15" hidden="false" customHeight="false" outlineLevel="0" collapsed="false">
      <c r="A160" s="0" t="n">
        <f aca="false">'Demand Projection'!A160</f>
        <v>159</v>
      </c>
      <c r="B160" s="0" t="str">
        <f aca="false">'Demand Projection'!B160</f>
        <v>SKU PROD D</v>
      </c>
      <c r="C160" s="2" t="n">
        <f aca="false">'Demand Projection'!C160</f>
        <v>46362</v>
      </c>
      <c r="D160" s="0" t="n">
        <f aca="false">'Demand Projection'!D160</f>
        <v>511</v>
      </c>
      <c r="E160" s="0" t="n">
        <f aca="false">SUMIFS('Demand Projection'!$D$2:$D$169,'Demand Projection'!$B$2:$B$169,B160,'Demand Projection'!$C$2:$C$169,"&gt;="&amp;C160,'Demand Projection'!$C$2:$C$169,"&lt;="&amp;C160+5)</f>
        <v>511</v>
      </c>
      <c r="F160" s="0" t="n">
        <f aca="false">SUMIFS($I$2:I159,$B$2:B159,B160,$J$2:J159,"&lt;="&amp;C160)</f>
        <v>49008</v>
      </c>
      <c r="G160" s="0" t="n">
        <f aca="false">SUMIFS($D$2:D160,$B$2:B160,B160)</f>
        <v>49487</v>
      </c>
      <c r="H160" s="0" t="n">
        <f aca="false">VLOOKUP(B160,Warehouse!$B$2:$D$6,3,FALSE())+F160-G160</f>
        <v>3021</v>
      </c>
      <c r="I160" s="0" t="n">
        <f aca="false">IF(H160&lt;VLOOKUP(B160,Capacity!$D$3:$F$7,2,FALSE()),VLOOKUP(B160,Capacity!$D$3:$F$7,3,FALSE())-H160,0)</f>
        <v>0</v>
      </c>
      <c r="J160" s="2" t="str">
        <f aca="false">IF(I160&gt;0,C160+3,"")</f>
        <v/>
      </c>
      <c r="K160" s="0" t="str">
        <f aca="false">IF(I160&gt;0,MAX($K$2:K159)+1,"")</f>
        <v/>
      </c>
    </row>
    <row r="161" customFormat="false" ht="15" hidden="false" customHeight="false" outlineLevel="0" collapsed="false">
      <c r="A161" s="0" t="n">
        <f aca="false">'Demand Projection'!A161</f>
        <v>160</v>
      </c>
      <c r="B161" s="0" t="str">
        <f aca="false">'Demand Projection'!B161</f>
        <v>SKU PROD A</v>
      </c>
      <c r="C161" s="2" t="n">
        <f aca="false">'Demand Projection'!C161</f>
        <v>46363</v>
      </c>
      <c r="D161" s="0" t="n">
        <f aca="false">'Demand Projection'!D161</f>
        <v>848</v>
      </c>
      <c r="E161" s="0" t="n">
        <f aca="false">SUMIFS('Demand Projection'!$D$2:$D$169,'Demand Projection'!$B$2:$B$169,B161,'Demand Projection'!$C$2:$C$169,"&gt;="&amp;C161,'Demand Projection'!$C$2:$C$169,"&lt;="&amp;C161+5)</f>
        <v>848</v>
      </c>
      <c r="F161" s="0" t="n">
        <f aca="false">SUMIFS($I$2:I160,$B$2:B160,B161,$J$2:J160,"&lt;="&amp;C161)</f>
        <v>36343</v>
      </c>
      <c r="G161" s="0" t="n">
        <f aca="false">SUMIFS($D$2:D161,$B$2:B161,B161)</f>
        <v>37332</v>
      </c>
      <c r="H161" s="0" t="n">
        <f aca="false">VLOOKUP(B161,Warehouse!$B$2:$D$6,3,FALSE())+F161-G161</f>
        <v>1211</v>
      </c>
      <c r="I161" s="0" t="n">
        <f aca="false">IF(H161&lt;VLOOKUP(B161,Capacity!$D$3:$F$7,2,FALSE()),VLOOKUP(B161,Capacity!$D$3:$F$7,3,FALSE())-H161,0)</f>
        <v>0</v>
      </c>
      <c r="J161" s="2" t="str">
        <f aca="false">IF(I161&gt;0,C161+3,"")</f>
        <v/>
      </c>
      <c r="K161" s="0" t="str">
        <f aca="false">IF(I161&gt;0,MAX($K$2:K160)+1,"")</f>
        <v/>
      </c>
    </row>
    <row r="162" customFormat="false" ht="15" hidden="false" customHeight="false" outlineLevel="0" collapsed="false">
      <c r="A162" s="0" t="n">
        <f aca="false">'Demand Projection'!A162</f>
        <v>161</v>
      </c>
      <c r="B162" s="0" t="str">
        <f aca="false">'Demand Projection'!B162</f>
        <v>SKU PROD C</v>
      </c>
      <c r="C162" s="2" t="n">
        <f aca="false">'Demand Projection'!C162</f>
        <v>46365</v>
      </c>
      <c r="D162" s="0" t="n">
        <f aca="false">'Demand Projection'!D162</f>
        <v>426</v>
      </c>
      <c r="E162" s="0" t="n">
        <f aca="false">SUMIFS('Demand Projection'!$D$2:$D$169,'Demand Projection'!$B$2:$B$169,B162,'Demand Projection'!$C$2:$C$169,"&gt;="&amp;C162,'Demand Projection'!$C$2:$C$169,"&lt;="&amp;C162+5)</f>
        <v>426</v>
      </c>
      <c r="F162" s="0" t="n">
        <f aca="false">SUMIFS($I$2:I161,$B$2:B161,B162,$J$2:J161,"&lt;="&amp;C162)</f>
        <v>22963</v>
      </c>
      <c r="G162" s="0" t="n">
        <f aca="false">SUMIFS($D$2:D162,$B$2:B162,B162)</f>
        <v>23552</v>
      </c>
      <c r="H162" s="0" t="n">
        <f aca="false">VLOOKUP(B162,Warehouse!$B$2:$D$6,3,FALSE())+F162-G162</f>
        <v>1111</v>
      </c>
      <c r="I162" s="0" t="n">
        <f aca="false">IF(H162&lt;VLOOKUP(B162,Capacity!$D$3:$F$7,2,FALSE()),VLOOKUP(B162,Capacity!$D$3:$F$7,3,FALSE())-H162,0)</f>
        <v>0</v>
      </c>
      <c r="J162" s="2" t="str">
        <f aca="false">IF(I162&gt;0,C162+3,"")</f>
        <v/>
      </c>
      <c r="K162" s="0" t="str">
        <f aca="false">IF(I162&gt;0,MAX($K$2:K161)+1,"")</f>
        <v/>
      </c>
    </row>
    <row r="163" customFormat="false" ht="15" hidden="false" customHeight="false" outlineLevel="0" collapsed="false">
      <c r="A163" s="0" t="n">
        <f aca="false">'Demand Projection'!A163</f>
        <v>162</v>
      </c>
      <c r="B163" s="0" t="str">
        <f aca="false">'Demand Projection'!B163</f>
        <v>SKU PROD E</v>
      </c>
      <c r="C163" s="2" t="n">
        <f aca="false">'Demand Projection'!C163</f>
        <v>46368</v>
      </c>
      <c r="D163" s="0" t="n">
        <f aca="false">'Demand Projection'!D163</f>
        <v>314</v>
      </c>
      <c r="E163" s="0" t="n">
        <f aca="false">SUMIFS('Demand Projection'!$D$2:$D$169,'Demand Projection'!$B$2:$B$169,B163,'Demand Projection'!$C$2:$C$169,"&gt;="&amp;C163,'Demand Projection'!$C$2:$C$169,"&lt;="&amp;C163+5)</f>
        <v>314</v>
      </c>
      <c r="F163" s="0" t="n">
        <f aca="false">SUMIFS($I$2:I162,$B$2:B162,B163,$J$2:J162,"&lt;="&amp;C163)</f>
        <v>26786</v>
      </c>
      <c r="G163" s="0" t="n">
        <f aca="false">SUMIFS($D$2:D163,$B$2:B163,B163)</f>
        <v>27043</v>
      </c>
      <c r="H163" s="0" t="n">
        <f aca="false">VLOOKUP(B163,Warehouse!$B$2:$D$6,3,FALSE())+F163-G163</f>
        <v>2043</v>
      </c>
      <c r="I163" s="0" t="n">
        <f aca="false">IF(H163&lt;VLOOKUP(B163,Capacity!$D$3:$F$7,2,FALSE()),VLOOKUP(B163,Capacity!$D$3:$F$7,3,FALSE())-H163,0)</f>
        <v>0</v>
      </c>
      <c r="J163" s="2" t="str">
        <f aca="false">IF(I163&gt;0,C163+3,"")</f>
        <v/>
      </c>
      <c r="K163" s="0" t="str">
        <f aca="false">IF(I163&gt;0,MAX($K$2:K162)+1,"")</f>
        <v/>
      </c>
    </row>
    <row r="164" customFormat="false" ht="15" hidden="false" customHeight="false" outlineLevel="0" collapsed="false">
      <c r="A164" s="0" t="n">
        <f aca="false">'Demand Projection'!A164</f>
        <v>163</v>
      </c>
      <c r="B164" s="0" t="str">
        <f aca="false">'Demand Projection'!B164</f>
        <v>SKU PROD B</v>
      </c>
      <c r="C164" s="2" t="n">
        <f aca="false">'Demand Projection'!C164</f>
        <v>46369</v>
      </c>
      <c r="D164" s="0" t="n">
        <f aca="false">'Demand Projection'!D164</f>
        <v>447</v>
      </c>
      <c r="E164" s="0" t="n">
        <f aca="false">SUMIFS('Demand Projection'!$D$2:$D$169,'Demand Projection'!$B$2:$B$169,B164,'Demand Projection'!$C$2:$C$169,"&gt;="&amp;C164,'Demand Projection'!$C$2:$C$169,"&lt;="&amp;C164+5)</f>
        <v>447</v>
      </c>
      <c r="F164" s="0" t="n">
        <f aca="false">SUMIFS($I$2:I163,$B$2:B163,B164,$J$2:J163,"&lt;="&amp;C164)</f>
        <v>71975</v>
      </c>
      <c r="G164" s="0" t="n">
        <f aca="false">SUMIFS($D$2:D164,$B$2:B164,B164)</f>
        <v>73852</v>
      </c>
      <c r="H164" s="0" t="n">
        <f aca="false">VLOOKUP(B164,Warehouse!$B$2:$D$6,3,FALSE())+F164-G164</f>
        <v>6123</v>
      </c>
      <c r="I164" s="0" t="n">
        <f aca="false">IF(H164&lt;VLOOKUP(B164,Capacity!$D$3:$F$7,2,FALSE()),VLOOKUP(B164,Capacity!$D$3:$F$7,3,FALSE())-H164,0)</f>
        <v>0</v>
      </c>
      <c r="J164" s="2" t="str">
        <f aca="false">IF(I164&gt;0,C164+3,"")</f>
        <v/>
      </c>
      <c r="K164" s="0" t="str">
        <f aca="false">IF(I164&gt;0,MAX($K$2:K163)+1,"")</f>
        <v/>
      </c>
    </row>
    <row r="165" customFormat="false" ht="15" hidden="false" customHeight="false" outlineLevel="0" collapsed="false">
      <c r="A165" s="0" t="n">
        <f aca="false">'Demand Projection'!A165</f>
        <v>164</v>
      </c>
      <c r="B165" s="0" t="str">
        <f aca="false">'Demand Projection'!B165</f>
        <v>SKU PROD D</v>
      </c>
      <c r="C165" s="2" t="n">
        <f aca="false">'Demand Projection'!C165</f>
        <v>46373</v>
      </c>
      <c r="D165" s="0" t="n">
        <f aca="false">'Demand Projection'!D165</f>
        <v>633</v>
      </c>
      <c r="E165" s="0" t="n">
        <f aca="false">SUMIFS('Demand Projection'!$D$2:$D$169,'Demand Projection'!$B$2:$B$169,B165,'Demand Projection'!$C$2:$C$169,"&gt;="&amp;C165,'Demand Projection'!$C$2:$C$169,"&lt;="&amp;C165+5)</f>
        <v>633</v>
      </c>
      <c r="F165" s="0" t="n">
        <f aca="false">SUMIFS($I$2:I164,$B$2:B164,B165,$J$2:J164,"&lt;="&amp;C165)</f>
        <v>49008</v>
      </c>
      <c r="G165" s="0" t="n">
        <f aca="false">SUMIFS($D$2:D165,$B$2:B165,B165)</f>
        <v>50120</v>
      </c>
      <c r="H165" s="0" t="n">
        <f aca="false">VLOOKUP(B165,Warehouse!$B$2:$D$6,3,FALSE())+F165-G165</f>
        <v>2388</v>
      </c>
      <c r="I165" s="0" t="n">
        <f aca="false">IF(H165&lt;VLOOKUP(B165,Capacity!$D$3:$F$7,2,FALSE()),VLOOKUP(B165,Capacity!$D$3:$F$7,3,FALSE())-H165,0)</f>
        <v>0</v>
      </c>
      <c r="J165" s="2" t="str">
        <f aca="false">IF(I165&gt;0,C165+3,"")</f>
        <v/>
      </c>
      <c r="K165" s="0" t="str">
        <f aca="false">IF(I165&gt;0,MAX($K$2:K164)+1,"")</f>
        <v/>
      </c>
    </row>
    <row r="166" customFormat="false" ht="15" hidden="false" customHeight="false" outlineLevel="0" collapsed="false">
      <c r="A166" s="0" t="n">
        <f aca="false">'Demand Projection'!A166</f>
        <v>165</v>
      </c>
      <c r="B166" s="0" t="str">
        <f aca="false">'Demand Projection'!B166</f>
        <v>SKU PROD C</v>
      </c>
      <c r="C166" s="2" t="n">
        <f aca="false">'Demand Projection'!C166</f>
        <v>46376</v>
      </c>
      <c r="D166" s="0" t="n">
        <f aca="false">'Demand Projection'!D166</f>
        <v>584</v>
      </c>
      <c r="E166" s="0" t="n">
        <f aca="false">SUMIFS('Demand Projection'!$D$2:$D$169,'Demand Projection'!$B$2:$B$169,B166,'Demand Projection'!$C$2:$C$169,"&gt;="&amp;C166,'Demand Projection'!$C$2:$C$169,"&lt;="&amp;C166+5)</f>
        <v>584</v>
      </c>
      <c r="F166" s="0" t="n">
        <f aca="false">SUMIFS($I$2:I165,$B$2:B165,B166,$J$2:J165,"&lt;="&amp;C166)</f>
        <v>22963</v>
      </c>
      <c r="G166" s="0" t="n">
        <f aca="false">SUMIFS($D$2:D166,$B$2:B166,B166)</f>
        <v>24136</v>
      </c>
      <c r="H166" s="0" t="n">
        <f aca="false">VLOOKUP(B166,Warehouse!$B$2:$D$6,3,FALSE())+F166-G166</f>
        <v>527</v>
      </c>
      <c r="I166" s="0" t="n">
        <f aca="false">IF(H166&lt;VLOOKUP(B166,Capacity!$D$3:$F$7,2,FALSE()),VLOOKUP(B166,Capacity!$D$3:$F$7,3,FALSE())-H166,0)</f>
        <v>0</v>
      </c>
      <c r="J166" s="2" t="str">
        <f aca="false">IF(I166&gt;0,C166+3,"")</f>
        <v/>
      </c>
      <c r="K166" s="0" t="str">
        <f aca="false">IF(I166&gt;0,MAX($K$2:K165)+1,"")</f>
        <v/>
      </c>
    </row>
    <row r="167" customFormat="false" ht="15" hidden="false" customHeight="false" outlineLevel="0" collapsed="false">
      <c r="A167" s="0" t="n">
        <f aca="false">'Demand Projection'!A167</f>
        <v>166</v>
      </c>
      <c r="B167" s="0" t="str">
        <f aca="false">'Demand Projection'!B167</f>
        <v>SKU PROD A</v>
      </c>
      <c r="C167" s="2" t="n">
        <f aca="false">'Demand Projection'!C167</f>
        <v>46380</v>
      </c>
      <c r="D167" s="0" t="n">
        <f aca="false">'Demand Projection'!D167</f>
        <v>806</v>
      </c>
      <c r="E167" s="0" t="n">
        <f aca="false">SUMIFS('Demand Projection'!$D$2:$D$169,'Demand Projection'!$B$2:$B$169,B167,'Demand Projection'!$C$2:$C$169,"&gt;="&amp;C167,'Demand Projection'!$C$2:$C$169,"&lt;="&amp;C167+5)</f>
        <v>806</v>
      </c>
      <c r="F167" s="0" t="n">
        <f aca="false">SUMIFS($I$2:I166,$B$2:B166,B167,$J$2:J166,"&lt;="&amp;C167)</f>
        <v>36343</v>
      </c>
      <c r="G167" s="0" t="n">
        <f aca="false">SUMIFS($D$2:D167,$B$2:B167,B167)</f>
        <v>38138</v>
      </c>
      <c r="H167" s="0" t="n">
        <f aca="false">VLOOKUP(B167,Warehouse!$B$2:$D$6,3,FALSE())+F167-G167</f>
        <v>405</v>
      </c>
      <c r="I167" s="0" t="n">
        <f aca="false">IF(H167&lt;VLOOKUP(B167,Capacity!$D$3:$F$7,2,FALSE()),VLOOKUP(B167,Capacity!$D$3:$F$7,3,FALSE())-H167,0)</f>
        <v>2227</v>
      </c>
      <c r="J167" s="2" t="n">
        <f aca="false">IF(I167&gt;0,C167+3,"")</f>
        <v>46383</v>
      </c>
      <c r="K167" s="0" t="n">
        <f aca="false">IF(I167&gt;0,MAX($K$2:K166)+1,"")</f>
        <v>62</v>
      </c>
    </row>
    <row r="168" customFormat="false" ht="15" hidden="false" customHeight="false" outlineLevel="0" collapsed="false">
      <c r="A168" s="0" t="n">
        <f aca="false">'Demand Projection'!A168</f>
        <v>167</v>
      </c>
      <c r="B168" s="0" t="str">
        <f aca="false">'Demand Projection'!B168</f>
        <v>SKU PROD D</v>
      </c>
      <c r="C168" s="2" t="n">
        <f aca="false">'Demand Projection'!C168</f>
        <v>46384</v>
      </c>
      <c r="D168" s="0" t="n">
        <f aca="false">'Demand Projection'!D168</f>
        <v>3532</v>
      </c>
      <c r="E168" s="0" t="n">
        <f aca="false">SUMIFS('Demand Projection'!$D$2:$D$169,'Demand Projection'!$B$2:$B$169,B168,'Demand Projection'!$C$2:$C$169,"&gt;="&amp;C168,'Demand Projection'!$C$2:$C$169,"&lt;="&amp;C168+5)</f>
        <v>3532</v>
      </c>
      <c r="F168" s="0" t="n">
        <f aca="false">SUMIFS($I$2:I167,$B$2:B167,B168,$J$2:J167,"&lt;="&amp;C168)</f>
        <v>49008</v>
      </c>
      <c r="G168" s="0" t="n">
        <f aca="false">SUMIFS($D$2:D168,$B$2:B168,B168)</f>
        <v>53652</v>
      </c>
      <c r="H168" s="0" t="n">
        <f aca="false">VLOOKUP(B168,Warehouse!$B$2:$D$6,3,FALSE())+F168-G168</f>
        <v>-1144</v>
      </c>
      <c r="I168" s="0" t="n">
        <f aca="false">IF(H168&lt;VLOOKUP(B168,Capacity!$D$3:$F$7,2,FALSE()),VLOOKUP(B168,Capacity!$D$3:$F$7,3,FALSE())-H168,0)</f>
        <v>4676</v>
      </c>
      <c r="J168" s="2" t="n">
        <f aca="false">IF(I168&gt;0,C168+3,"")</f>
        <v>46387</v>
      </c>
      <c r="K168" s="0" t="n">
        <f aca="false">IF(I168&gt;0,MAX($K$2:K167)+1,"")</f>
        <v>63</v>
      </c>
    </row>
    <row r="169" customFormat="false" ht="15" hidden="false" customHeight="false" outlineLevel="0" collapsed="false">
      <c r="A169" s="0" t="n">
        <f aca="false">'Demand Projection'!A169</f>
        <v>168</v>
      </c>
      <c r="B169" s="0" t="str">
        <f aca="false">'Demand Projection'!B169</f>
        <v>SKU PROD E</v>
      </c>
      <c r="C169" s="2" t="n">
        <f aca="false">'Demand Projection'!C169</f>
        <v>46384</v>
      </c>
      <c r="D169" s="0" t="n">
        <f aca="false">'Demand Projection'!D169</f>
        <v>2357</v>
      </c>
      <c r="E169" s="0" t="n">
        <f aca="false">SUMIFS('Demand Projection'!$D$2:$D$169,'Demand Projection'!$B$2:$B$169,B169,'Demand Projection'!$C$2:$C$169,"&gt;="&amp;C169,'Demand Projection'!$C$2:$C$169,"&lt;="&amp;C169+5)</f>
        <v>2357</v>
      </c>
      <c r="F169" s="0" t="n">
        <f aca="false">SUMIFS($I$2:I168,$B$2:B168,B169,$J$2:J168,"&lt;="&amp;C169)</f>
        <v>26786</v>
      </c>
      <c r="G169" s="0" t="n">
        <f aca="false">SUMIFS($D$2:D169,$B$2:B169,B169)</f>
        <v>29400</v>
      </c>
      <c r="H169" s="0" t="n">
        <f aca="false">VLOOKUP(B169,Warehouse!$B$2:$D$6,3,FALSE())+F169-G169</f>
        <v>-314</v>
      </c>
      <c r="I169" s="0" t="n">
        <f aca="false">IF(H169&lt;VLOOKUP(B169,Capacity!$D$3:$F$7,2,FALSE()),VLOOKUP(B169,Capacity!$D$3:$F$7,3,FALSE())-H169,0)</f>
        <v>2671</v>
      </c>
      <c r="J169" s="2" t="n">
        <f aca="false">IF(I169&gt;0,C169+3,"")</f>
        <v>46387</v>
      </c>
      <c r="K169" s="0" t="n">
        <f aca="false">IF(I169&gt;0,MAX($K$2:K168)+1,"")</f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2026-09-10T05:05:49Z</dcterms:created>
  <dc:creator>Feris Thia</dc:creator>
  <dc:description/>
  <dc:language>en-US</dc:language>
  <cp:lastModifiedBy>Feris Thia</cp:lastModifiedBy>
  <dcterms:modified xsi:type="dcterms:W3CDTF">2026-09-11T20:10:34Z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